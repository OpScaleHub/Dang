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تنظیمات" sheetId="2" state="visible" r:id="rId2"/>
    <sheet name="واحدها" sheetId="3" state="visible" r:id="rId3"/>
    <sheet name="پارکینگ" sheetId="4" state="visible" r:id="rId4"/>
    <sheet name="کنتورها" sheetId="5" state="visible" r:id="rId5"/>
    <sheet name="دوره‌ها" sheetId="6" state="visible" r:id="rId6"/>
    <sheet name="دسته‌ها" sheetId="7" state="visible" r:id="rId7"/>
    <sheet name="هزینه‌ها" sheetId="8" state="visible" r:id="rId8"/>
    <sheet name="اقلام شارژ" sheetId="9" state="visible" r:id="rId9"/>
    <sheet name="شمول" sheetId="10" state="visible" r:id="rId10"/>
    <sheet name="وزن‌ها" sheetId="11" state="visible" r:id="rId11"/>
    <sheet name="سطرهای تسهیم" sheetId="12" state="visible" r:id="rId12"/>
    <sheet name="محاسبه تسهیم" sheetId="13" state="visible" r:id="rId13"/>
    <sheet name="ریز شارژ" sheetId="14" state="visible" r:id="rId14"/>
    <sheet name="افتتاحیه" sheetId="15" state="visible" r:id="rId15"/>
    <sheet name="دریافت‌ها" sheetId="16" state="visible" r:id="rId16"/>
    <sheet name="پرداخت‌ها" sheetId="17" state="visible" r:id="rId17"/>
    <sheet name="تعدیل‌ها" sheetId="18" state="visible" r:id="rId18"/>
    <sheet name="انتقال‌ها" sheetId="19" state="visible" r:id="rId19"/>
    <sheet name="دفتر صندوق" sheetId="20" state="visible" r:id="rId20"/>
    <sheet name="مانده واحدها" sheetId="21" state="visible" r:id="rId21"/>
    <sheet name="صندوق‌ها" sheetId="22" state="visible" r:id="rId22"/>
    <sheet name="خلاصه ماهانه" sheetId="23" state="visible" r:id="rId23"/>
    <sheet name="کنترل‌ها" sheetId="24" state="visible" r:id="rId24"/>
    <sheet name="فهرست‌ها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#,##0;[Red]-#,##0;&quot;-&quot;"/>
  </numFmts>
  <fonts count="10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sz val="10"/>
    </font>
    <font>
      <name val="Tahoma"/>
      <color rgb="000000FF"/>
      <sz val="10"/>
    </font>
    <font>
      <name val="Tahoma"/>
      <color rgb="00000000"/>
      <sz val="10"/>
    </font>
    <font>
      <name val="Tahoma"/>
      <b val="1"/>
    </font>
    <font>
      <name val="Tahoma"/>
      <b val="1"/>
      <color rgb="00FFFFFF"/>
      <sz val="10"/>
    </font>
    <font>
      <name val="Tahoma"/>
      <i val="1"/>
      <color rgb="00555555"/>
      <sz val="9"/>
    </font>
    <font>
      <name val="Tahoma"/>
      <color rgb="00008000"/>
      <sz val="10"/>
    </font>
    <font>
      <name val="Tahoma"/>
      <b val="1"/>
      <sz val="11"/>
    </font>
  </fonts>
  <fills count="6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37474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3" fillId="2" borderId="1" pivotButton="0" quotePrefix="0" xfId="0"/>
    <xf numFmtId="0" fontId="7" fillId="0" borderId="0" pivotButton="0" quotePrefix="0" xfId="0"/>
    <xf numFmtId="4" fontId="3" fillId="2" borderId="1" pivotButton="0" quotePrefix="0" xfId="0"/>
    <xf numFmtId="3" fontId="4" fillId="3" borderId="1" pivotButton="0" quotePrefix="0" xfId="0"/>
    <xf numFmtId="164" fontId="8" fillId="3" borderId="1" pivotButton="0" quotePrefix="0" xfId="0"/>
    <xf numFmtId="3" fontId="8" fillId="3" borderId="1" pivotButton="0" quotePrefix="0" xfId="0"/>
    <xf numFmtId="0" fontId="5" fillId="0" borderId="0" pivotButton="0" quotePrefix="0" xfId="0"/>
    <xf numFmtId="4" fontId="4" fillId="3" borderId="1" pivotButton="0" quotePrefix="0" xfId="0"/>
    <xf numFmtId="164" fontId="4" fillId="3" borderId="1" pivotButton="0" quotePrefix="0" xfId="0"/>
    <xf numFmtId="164" fontId="3" fillId="2" borderId="1" pivotButton="0" quotePrefix="0" xfId="0"/>
    <xf numFmtId="165" fontId="4" fillId="3" borderId="1" pivotButton="0" quotePrefix="0" xfId="0"/>
    <xf numFmtId="166" fontId="3" fillId="2" borderId="1" pivotButton="0" quotePrefix="0" xfId="0"/>
    <xf numFmtId="166" fontId="8" fillId="3" borderId="1" pivotButton="0" quotePrefix="0" xfId="0"/>
    <xf numFmtId="166" fontId="4" fillId="3" borderId="1" pivotButton="0" quotePrefix="0" xfId="0"/>
    <xf numFmtId="0" fontId="6" fillId="4" borderId="0" pivotButton="0" quotePrefix="0" xfId="0"/>
    <xf numFmtId="0" fontId="8" fillId="3" borderId="1" pivotButton="0" quotePrefix="0" xfId="0"/>
    <xf numFmtId="0" fontId="9" fillId="0" borderId="0" pivotButton="0" quotePrefix="0" xfId="0"/>
    <xf numFmtId="166" fontId="4" fillId="0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Dang</author>
  </authors>
  <commentList>
    <comment ref="B7" authorId="0" shapeId="0">
      <text>
        <t>مثلاً ۱۰۰۰ یعنی سهم‌ها به مضرب ۱۰۰۰ ریال گرد می‌شوند. باقیمانده به روش بزرگ‌ترین باقیمانده توزیع می‌شود.</t>
      </text>
    </comment>
  </commentList>
</comments>
</file>

<file path=xl/comments/comment2.xml><?xml version="1.0" encoding="utf-8"?>
<comments xmlns="http://schemas.openxmlformats.org/spreadsheetml/2006/main">
  <authors>
    <author>Dang</author>
  </authors>
  <commentList>
    <comment ref="B8" authorId="0" shapeId="0">
      <text>
        <t>نقد + مطالبات − بدهی‌ها − اندوخته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110" customWidth="1" min="1" max="1"/>
    <col width="18" customWidth="1" min="2" max="2"/>
  </cols>
  <sheetData>
    <row r="1">
      <c r="A1" s="1" t="inlineStr">
        <is>
          <t>دفتر حسابداری ساختمان «دنگ» — نمونه اولیه (Prototype)</t>
        </is>
      </c>
    </row>
    <row r="3">
      <c r="A3" s="2" t="inlineStr">
        <is>
          <t>این کارپوشه نمونه اولیه قواعد مالی برنامه اندرویدی «دنگ» است و تمام داده‌های آن ساختگی (نمونه) هستند.</t>
        </is>
      </c>
    </row>
    <row r="4">
      <c r="A4" s="2" t="inlineStr">
        <is>
          <t>موتور محاسبه اصلی در برنامه (کاتلین) پیاده‌سازی و آزمون شده است؛ این فایل برای اعتبارسنجی قواعد است.</t>
        </is>
      </c>
    </row>
    <row r="5">
      <c r="A5" s="2" t="inlineStr"/>
    </row>
    <row r="6">
      <c r="A6" s="2" t="inlineStr">
        <is>
          <t>راهنمای رنگ‌ها:</t>
        </is>
      </c>
    </row>
    <row r="7">
      <c r="A7" s="2" t="inlineStr">
        <is>
          <t>• سلول زرد با متن آبی = ورودی قابل ویرایش</t>
        </is>
      </c>
    </row>
    <row r="8">
      <c r="A8" s="2" t="inlineStr">
        <is>
          <t>• سلول سفید با متن سیاه = محاسبه با فرمول (ویرایش نکنید)</t>
        </is>
      </c>
    </row>
    <row r="9">
      <c r="A9" s="2" t="inlineStr">
        <is>
          <t>• متن سبز = پیوند به برگه دیگر</t>
        </is>
      </c>
    </row>
    <row r="10">
      <c r="A10" s="2" t="inlineStr">
        <is>
          <t>• برگه «کنترل‌ها» باید همه موارد را «درست» نشان دهد.</t>
        </is>
      </c>
    </row>
    <row r="11">
      <c r="A11" s="2" t="inlineStr"/>
    </row>
    <row r="12">
      <c r="A12" s="2" t="inlineStr">
        <is>
          <t>قواعد کلیدی:</t>
        </is>
      </c>
    </row>
    <row r="13">
      <c r="A13" s="2" t="inlineStr">
        <is>
          <t>• مبالغ به کوچک‌ترین واحد پول (ریال) و به صورت عدد صحیح ثبت می‌شوند.</t>
        </is>
      </c>
    </row>
    <row r="14">
      <c r="A14" s="2" t="inlineStr">
        <is>
          <t>• سهم هر واحد = مبلغ × وزن واحد ÷ مجموع وزن‌ها؛ سپس به مضرب «واحد گرد کردن» کاهش می‌یابد.</t>
        </is>
      </c>
    </row>
    <row r="15">
      <c r="A15" s="2" t="inlineStr">
        <is>
          <t>• باقیمانده گرد کردن به روش «بزرگ‌ترین باقیمانده» توزیع می‌شود (تساوی: ترتیب واحد)؛ هیچ باقیمانده‌ای حذف نمی‌شود.</t>
        </is>
      </c>
    </row>
    <row r="16">
      <c r="A16" s="2" t="inlineStr">
        <is>
          <t>• مصرف آب = قرائت فعلی − قرائت قبلی. مقدار منفی فقط با علامت «گردش کنتور» پذیرفته می‌شود.</t>
        </is>
      </c>
    </row>
    <row r="17">
      <c r="A17" s="2" t="inlineStr">
        <is>
          <t>• تعویض کنتور: کنتور قدیم با قرائت نهایی و کنتور جدید با قرائت اولیه، هر دو به واحد تعلق دارند.</t>
        </is>
      </c>
    </row>
    <row r="18">
      <c r="A18" s="2" t="inlineStr">
        <is>
          <t>• اختلاف کنتور اصلی و مجموع کنتورهای واحدها «مصرف تخصیص‌نیافته» است و فقط با سیاست صریح «مصرف + سهم مشترک» تسهیم می‌شود.</t>
        </is>
      </c>
    </row>
    <row r="19">
      <c r="A19" s="2" t="inlineStr">
        <is>
          <t>• دریافت از ساکن درآمد نیست؛ بدهی واحد را کاهش می‌دهد. انتقال به اندوخته هزینه نیست.</t>
        </is>
      </c>
    </row>
    <row r="20">
      <c r="A20" s="2" t="inlineStr">
        <is>
          <t>• علامت مانده واحد: مثبت = بدهکار (واحد بدهی دارد)، منفی = بستانکار (اعتبار).</t>
        </is>
      </c>
    </row>
    <row r="21">
      <c r="A21" s="2" t="inlineStr">
        <is>
          <t>• هزینه «بدون تسهیم» از محل صندوق پرداخت و به واحدها شارژ نمی‌شود.</t>
        </is>
      </c>
    </row>
    <row r="22">
      <c r="A22" s="2" t="inlineStr"/>
    </row>
    <row r="23">
      <c r="A23" s="2" t="inlineStr">
        <is>
          <t>محدودیت‌های این نمونه: یک دوره، یک صندوق نقد، تعداد ساکنان در کل دوره ثابت فرض شده است.</t>
        </is>
      </c>
    </row>
    <row r="24">
      <c r="A24" s="2" t="inlineStr">
        <is>
          <t>برنامه اصلی تاریخچه سکونت، چند دوره، تعرفه پلکانی آب و اصلاحیه پس از قطعی شدن را پشتیبانی می‌کند.</t>
        </is>
      </c>
    </row>
    <row r="26">
      <c r="A26" s="3" t="inlineStr">
        <is>
          <t>نمونه سلول ورودی</t>
        </is>
      </c>
      <c r="B26" s="4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1" t="inlineStr">
        <is>
          <t>تنظیمات ساختمان و دوره</t>
        </is>
      </c>
    </row>
    <row r="3" ht="32" customHeight="1">
      <c r="A3" s="5" t="inlineStr">
        <is>
          <t>عنوان</t>
        </is>
      </c>
      <c r="B3" s="5" t="inlineStr">
        <is>
          <t>مقدار</t>
        </is>
      </c>
    </row>
    <row r="4">
      <c r="A4" s="6" t="inlineStr">
        <is>
          <t>نام ساختمان</t>
        </is>
      </c>
      <c r="B4" s="3" t="inlineStr">
        <is>
          <t>ساختمان نمونه ۹ واحدی</t>
        </is>
      </c>
    </row>
    <row r="5">
      <c r="A5" s="6" t="inlineStr">
        <is>
          <t>نشانی</t>
        </is>
      </c>
      <c r="B5" s="3" t="inlineStr">
        <is>
          <t>نشانی نمونه — ساختگی</t>
        </is>
      </c>
    </row>
    <row r="6">
      <c r="A6" s="6" t="inlineStr">
        <is>
          <t>واحد پول</t>
        </is>
      </c>
      <c r="B6" s="3" t="inlineStr">
        <is>
          <t>ریال</t>
        </is>
      </c>
    </row>
    <row r="7">
      <c r="A7" s="6" t="inlineStr">
        <is>
          <t>واحد گرد کردن سهم‌ها (ریال)</t>
        </is>
      </c>
      <c r="B7" s="7" t="n">
        <v>1000</v>
      </c>
    </row>
    <row r="8">
      <c r="A8" s="6" t="inlineStr">
        <is>
          <t>نام دوره</t>
        </is>
      </c>
      <c r="B8" s="3" t="inlineStr">
        <is>
          <t>مهر ۱۴۰۵ (نمونه)</t>
        </is>
      </c>
    </row>
    <row r="9">
      <c r="A9" s="6" t="inlineStr">
        <is>
          <t>شروع دوره (شمسی)</t>
        </is>
      </c>
      <c r="B9" s="3" t="inlineStr">
        <is>
          <t>1405/07/01</t>
        </is>
      </c>
    </row>
    <row r="10">
      <c r="A10" s="6" t="inlineStr">
        <is>
          <t>پایان دوره (شمسی)</t>
        </is>
      </c>
      <c r="B10" s="3" t="inlineStr">
        <is>
          <t>1405/07/30</t>
        </is>
      </c>
    </row>
    <row r="11">
      <c r="A11" s="6" t="inlineStr">
        <is>
          <t>تقویم</t>
        </is>
      </c>
      <c r="B11" s="3" t="inlineStr">
        <is>
          <t>هجری شمسی</t>
        </is>
      </c>
    </row>
    <row r="12">
      <c r="A12" s="6" t="inlineStr">
        <is>
          <t>مبنای تسهیم سهم مشترک آب</t>
        </is>
      </c>
      <c r="B12" s="3" t="inlineStr">
        <is>
          <t>مساوی</t>
        </is>
      </c>
    </row>
  </sheetData>
  <dataValidations count="2">
    <dataValidation sqref="B12" showDropDown="0" showInputMessage="0" showErrorMessage="1" allowBlank="1" errorTitle="مقدار نامعتبر" error="لطفاً از فهرست انتخاب کنید." type="list">
      <formula1>'فهرست‌ها'!$A$4:$A$13</formula1>
    </dataValidation>
    <dataValidation sqref="B7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4" customWidth="1" min="5" max="5"/>
    <col width="8" customWidth="1" min="6" max="6"/>
    <col width="24" customWidth="1" min="7" max="7"/>
    <col width="8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واحدها و ساکنان</t>
        </is>
      </c>
    </row>
    <row r="2">
      <c r="A2" s="8" t="inlineStr">
        <is>
          <t>تعداد ساکنان «نمونه» است و باید توسط مدیر ساختمان اصلاح شود.</t>
        </is>
      </c>
    </row>
    <row r="4" ht="32" customHeight="1">
      <c r="A4" s="5" t="inlineStr">
        <is>
          <t>شناسه واحد</t>
        </is>
      </c>
      <c r="B4" s="5" t="inlineStr">
        <is>
          <t>طبقه</t>
        </is>
      </c>
      <c r="C4" s="5" t="inlineStr">
        <is>
          <t>شماره واحد</t>
        </is>
      </c>
      <c r="D4" s="5" t="inlineStr">
        <is>
          <t>متراژ (m²)</t>
        </is>
      </c>
      <c r="E4" s="5" t="inlineStr">
        <is>
          <t>تعداد ساکنان (نمونه)</t>
        </is>
      </c>
      <c r="F4" s="5" t="inlineStr">
        <is>
          <t>فعال</t>
        </is>
      </c>
      <c r="G4" s="5" t="inlineStr">
        <is>
          <t>یادداشت</t>
        </is>
      </c>
      <c r="H4" s="5" t="inlineStr">
        <is>
          <t>ترتیب</t>
        </is>
      </c>
      <c r="I4" s="5" t="inlineStr">
        <is>
          <t>مصرف آب دوره (m³)</t>
        </is>
      </c>
      <c r="J4" s="5" t="inlineStr">
        <is>
          <t>مصرف (لیتر)</t>
        </is>
      </c>
      <c r="K4" s="5" t="inlineStr">
        <is>
          <t>پارکینگ تخصیصی</t>
        </is>
      </c>
      <c r="L4" s="5" t="inlineStr">
        <is>
          <t>پارکینگ در استفاده</t>
        </is>
      </c>
    </row>
    <row r="5">
      <c r="A5" s="3" t="inlineStr">
        <is>
          <t>1-1</t>
        </is>
      </c>
      <c r="B5" s="7" t="n">
        <v>1</v>
      </c>
      <c r="C5" s="7" t="n">
        <v>1</v>
      </c>
      <c r="D5" s="9" t="n">
        <v>60</v>
      </c>
      <c r="E5" s="7" t="n">
        <v>2</v>
      </c>
      <c r="F5" s="3" t="inlineStr">
        <is>
          <t>بله</t>
        </is>
      </c>
      <c r="G5" s="3" t="inlineStr"/>
      <c r="H5" s="10">
        <f>ROW()-4</f>
        <v/>
      </c>
      <c r="I5" s="11">
        <f>SUMIFS('کنتورها'!$I$5:$I$30,'کنتورها'!$C$5:$C$30,A5,'کنتورها'!$B$5:$B$30,"واحد")</f>
        <v/>
      </c>
      <c r="J5" s="10">
        <f>ROUND(I5*1000,0)</f>
        <v/>
      </c>
      <c r="K5" s="12">
        <f>COUNTIFS('پارکینگ'!$B$5:$B$30,A5)</f>
        <v/>
      </c>
      <c r="L5" s="12">
        <f>COUNTIFS('پارکینگ'!$B$5:$B$30,A5,'پارکینگ'!$D$5:$D$30,"بله")</f>
        <v/>
      </c>
    </row>
    <row r="6">
      <c r="A6" s="3" t="inlineStr">
        <is>
          <t>1-2</t>
        </is>
      </c>
      <c r="B6" s="7" t="n">
        <v>1</v>
      </c>
      <c r="C6" s="7" t="n">
        <v>2</v>
      </c>
      <c r="D6" s="9" t="n">
        <v>60</v>
      </c>
      <c r="E6" s="7" t="n">
        <v>1</v>
      </c>
      <c r="F6" s="3" t="inlineStr">
        <is>
          <t>بله</t>
        </is>
      </c>
      <c r="G6" s="3" t="inlineStr"/>
      <c r="H6" s="10">
        <f>ROW()-4</f>
        <v/>
      </c>
      <c r="I6" s="11">
        <f>SUMIFS('کنتورها'!$I$5:$I$30,'کنتورها'!$C$5:$C$30,A6,'کنتورها'!$B$5:$B$30,"واحد")</f>
        <v/>
      </c>
      <c r="J6" s="10">
        <f>ROUND(I6*1000,0)</f>
        <v/>
      </c>
      <c r="K6" s="12">
        <f>COUNTIFS('پارکینگ'!$B$5:$B$30,A6)</f>
        <v/>
      </c>
      <c r="L6" s="12">
        <f>COUNTIFS('پارکینگ'!$B$5:$B$30,A6,'پارکینگ'!$D$5:$D$30,"بله")</f>
        <v/>
      </c>
    </row>
    <row r="7">
      <c r="A7" s="3" t="inlineStr">
        <is>
          <t>1-3</t>
        </is>
      </c>
      <c r="B7" s="7" t="n">
        <v>1</v>
      </c>
      <c r="C7" s="7" t="n">
        <v>3</v>
      </c>
      <c r="D7" s="9" t="n">
        <v>70</v>
      </c>
      <c r="E7" s="7" t="n">
        <v>3</v>
      </c>
      <c r="F7" s="3" t="inlineStr">
        <is>
          <t>بله</t>
        </is>
      </c>
      <c r="G7" s="3" t="inlineStr"/>
      <c r="H7" s="10">
        <f>ROW()-4</f>
        <v/>
      </c>
      <c r="I7" s="11">
        <f>SUMIFS('کنتورها'!$I$5:$I$30,'کنتورها'!$C$5:$C$30,A7,'کنتورها'!$B$5:$B$30,"واحد")</f>
        <v/>
      </c>
      <c r="J7" s="10">
        <f>ROUND(I7*1000,0)</f>
        <v/>
      </c>
      <c r="K7" s="12">
        <f>COUNTIFS('پارکینگ'!$B$5:$B$30,A7)</f>
        <v/>
      </c>
      <c r="L7" s="12">
        <f>COUNTIFS('پارکینگ'!$B$5:$B$30,A7,'پارکینگ'!$D$5:$D$30,"بله")</f>
        <v/>
      </c>
    </row>
    <row r="8">
      <c r="A8" s="3" t="inlineStr">
        <is>
          <t>2-1</t>
        </is>
      </c>
      <c r="B8" s="7" t="n">
        <v>2</v>
      </c>
      <c r="C8" s="7" t="n">
        <v>1</v>
      </c>
      <c r="D8" s="9" t="n">
        <v>156</v>
      </c>
      <c r="E8" s="7" t="n">
        <v>4</v>
      </c>
      <c r="F8" s="3" t="inlineStr">
        <is>
          <t>بله</t>
        </is>
      </c>
      <c r="G8" s="3" t="inlineStr"/>
      <c r="H8" s="10">
        <f>ROW()-4</f>
        <v/>
      </c>
      <c r="I8" s="11">
        <f>SUMIFS('کنتورها'!$I$5:$I$30,'کنتورها'!$C$5:$C$30,A8,'کنتورها'!$B$5:$B$30,"واحد")</f>
        <v/>
      </c>
      <c r="J8" s="10">
        <f>ROUND(I8*1000,0)</f>
        <v/>
      </c>
      <c r="K8" s="12">
        <f>COUNTIFS('پارکینگ'!$B$5:$B$30,A8)</f>
        <v/>
      </c>
      <c r="L8" s="12">
        <f>COUNTIFS('پارکینگ'!$B$5:$B$30,A8,'پارکینگ'!$D$5:$D$30,"بله")</f>
        <v/>
      </c>
    </row>
    <row r="9">
      <c r="A9" s="3" t="inlineStr">
        <is>
          <t>2-2</t>
        </is>
      </c>
      <c r="B9" s="7" t="n">
        <v>2</v>
      </c>
      <c r="C9" s="7" t="n">
        <v>2</v>
      </c>
      <c r="D9" s="9" t="n">
        <v>100</v>
      </c>
      <c r="E9" s="7" t="n">
        <v>2</v>
      </c>
      <c r="F9" s="3" t="inlineStr">
        <is>
          <t>بله</t>
        </is>
      </c>
      <c r="G9" s="3" t="inlineStr"/>
      <c r="H9" s="10">
        <f>ROW()-4</f>
        <v/>
      </c>
      <c r="I9" s="11">
        <f>SUMIFS('کنتورها'!$I$5:$I$30,'کنتورها'!$C$5:$C$30,A9,'کنتورها'!$B$5:$B$30,"واحد")</f>
        <v/>
      </c>
      <c r="J9" s="10">
        <f>ROUND(I9*1000,0)</f>
        <v/>
      </c>
      <c r="K9" s="12">
        <f>COUNTIFS('پارکینگ'!$B$5:$B$30,A9)</f>
        <v/>
      </c>
      <c r="L9" s="12">
        <f>COUNTIFS('پارکینگ'!$B$5:$B$30,A9,'پارکینگ'!$D$5:$D$30,"بله")</f>
        <v/>
      </c>
    </row>
    <row r="10">
      <c r="A10" s="3" t="inlineStr">
        <is>
          <t>3-1</t>
        </is>
      </c>
      <c r="B10" s="7" t="n">
        <v>3</v>
      </c>
      <c r="C10" s="7" t="n">
        <v>1</v>
      </c>
      <c r="D10" s="9" t="n">
        <v>156</v>
      </c>
      <c r="E10" s="7" t="n">
        <v>5</v>
      </c>
      <c r="F10" s="3" t="inlineStr">
        <is>
          <t>بله</t>
        </is>
      </c>
      <c r="G10" s="3" t="inlineStr"/>
      <c r="H10" s="10">
        <f>ROW()-4</f>
        <v/>
      </c>
      <c r="I10" s="11">
        <f>SUMIFS('کنتورها'!$I$5:$I$30,'کنتورها'!$C$5:$C$30,A10,'کنتورها'!$B$5:$B$30,"واحد")</f>
        <v/>
      </c>
      <c r="J10" s="10">
        <f>ROUND(I10*1000,0)</f>
        <v/>
      </c>
      <c r="K10" s="12">
        <f>COUNTIFS('پارکینگ'!$B$5:$B$30,A10)</f>
        <v/>
      </c>
      <c r="L10" s="12">
        <f>COUNTIFS('پارکینگ'!$B$5:$B$30,A10,'پارکینگ'!$D$5:$D$30,"بله")</f>
        <v/>
      </c>
    </row>
    <row r="11">
      <c r="A11" s="3" t="inlineStr">
        <is>
          <t>3-2</t>
        </is>
      </c>
      <c r="B11" s="7" t="n">
        <v>3</v>
      </c>
      <c r="C11" s="7" t="n">
        <v>2</v>
      </c>
      <c r="D11" s="9" t="n">
        <v>100</v>
      </c>
      <c r="E11" s="7" t="n">
        <v>3</v>
      </c>
      <c r="F11" s="3" t="inlineStr">
        <is>
          <t>بله</t>
        </is>
      </c>
      <c r="G11" s="3" t="inlineStr"/>
      <c r="H11" s="10">
        <f>ROW()-4</f>
        <v/>
      </c>
      <c r="I11" s="11">
        <f>SUMIFS('کنتورها'!$I$5:$I$30,'کنتورها'!$C$5:$C$30,A11,'کنتورها'!$B$5:$B$30,"واحد")</f>
        <v/>
      </c>
      <c r="J11" s="10">
        <f>ROUND(I11*1000,0)</f>
        <v/>
      </c>
      <c r="K11" s="12">
        <f>COUNTIFS('پارکینگ'!$B$5:$B$30,A11)</f>
        <v/>
      </c>
      <c r="L11" s="12">
        <f>COUNTIFS('پارکینگ'!$B$5:$B$30,A11,'پارکینگ'!$D$5:$D$30,"بله")</f>
        <v/>
      </c>
    </row>
    <row r="12">
      <c r="A12" s="3" t="inlineStr">
        <is>
          <t>4-1</t>
        </is>
      </c>
      <c r="B12" s="7" t="n">
        <v>4</v>
      </c>
      <c r="C12" s="7" t="n">
        <v>1</v>
      </c>
      <c r="D12" s="9" t="n">
        <v>156</v>
      </c>
      <c r="E12" s="7" t="n">
        <v>4</v>
      </c>
      <c r="F12" s="3" t="inlineStr">
        <is>
          <t>بله</t>
        </is>
      </c>
      <c r="G12" s="3" t="inlineStr"/>
      <c r="H12" s="10">
        <f>ROW()-4</f>
        <v/>
      </c>
      <c r="I12" s="11">
        <f>SUMIFS('کنتورها'!$I$5:$I$30,'کنتورها'!$C$5:$C$30,A12,'کنتورها'!$B$5:$B$30,"واحد")</f>
        <v/>
      </c>
      <c r="J12" s="10">
        <f>ROUND(I12*1000,0)</f>
        <v/>
      </c>
      <c r="K12" s="12">
        <f>COUNTIFS('پارکینگ'!$B$5:$B$30,A12)</f>
        <v/>
      </c>
      <c r="L12" s="12">
        <f>COUNTIFS('پارکینگ'!$B$5:$B$30,A12,'پارکینگ'!$D$5:$D$30,"بله")</f>
        <v/>
      </c>
    </row>
    <row r="13">
      <c r="A13" s="3" t="inlineStr">
        <is>
          <t>4-2</t>
        </is>
      </c>
      <c r="B13" s="7" t="n">
        <v>4</v>
      </c>
      <c r="C13" s="7" t="n">
        <v>2</v>
      </c>
      <c r="D13" s="9" t="n">
        <v>100</v>
      </c>
      <c r="E13" s="7" t="n">
        <v>2</v>
      </c>
      <c r="F13" s="3" t="inlineStr">
        <is>
          <t>بله</t>
        </is>
      </c>
      <c r="G13" s="3" t="inlineStr"/>
      <c r="H13" s="10">
        <f>ROW()-4</f>
        <v/>
      </c>
      <c r="I13" s="11">
        <f>SUMIFS('کنتورها'!$I$5:$I$30,'کنتورها'!$C$5:$C$30,A13,'کنتورها'!$B$5:$B$30,"واحد")</f>
        <v/>
      </c>
      <c r="J13" s="10">
        <f>ROUND(I13*1000,0)</f>
        <v/>
      </c>
      <c r="K13" s="12">
        <f>COUNTIFS('پارکینگ'!$B$5:$B$30,A13)</f>
        <v/>
      </c>
      <c r="L13" s="12">
        <f>COUNTIFS('پارکینگ'!$B$5:$B$30,A13,'پارکینگ'!$D$5:$D$30,"بله")</f>
        <v/>
      </c>
    </row>
    <row r="14">
      <c r="A14" s="13" t="inlineStr">
        <is>
          <t>جمع</t>
        </is>
      </c>
      <c r="D14" s="14">
        <f>SUM(D5:D13)</f>
        <v/>
      </c>
      <c r="E14" s="10">
        <f>SUM(E5:E13)</f>
        <v/>
      </c>
      <c r="I14" s="15">
        <f>SUM(I5:I13)</f>
        <v/>
      </c>
      <c r="J14" s="10">
        <f>SUM(J5:J13)</f>
        <v/>
      </c>
      <c r="K14" s="10">
        <f>SUM(K5:K13)</f>
        <v/>
      </c>
      <c r="L14" s="10">
        <f>SUM(L5:L13)</f>
        <v/>
      </c>
    </row>
  </sheetData>
  <dataValidations count="2">
    <dataValidation sqref="F5:F13" showDropDown="0" showInputMessage="0" showErrorMessage="1" allowBlank="0" errorTitle="مقدار نامعتبر" error="لطفاً از فهرست انتخاب کنید." type="list">
      <formula1>'فهرست‌ها'!$C$4:$C$5</formula1>
    </dataValidation>
    <dataValidation sqref="D5:E13" showDropDown="0" showInputMessage="0" showErrorMessage="1" allowBlank="1" errorTitle="مقدار نامعتبر" error="مقدار باید عدد نامنفی باشد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28" customWidth="1" min="5" max="5"/>
  </cols>
  <sheetData>
    <row r="1">
      <c r="A1" s="1" t="inlineStr">
        <is>
          <t>فهرست و تخصیص پارکینگ</t>
        </is>
      </c>
    </row>
    <row r="2">
      <c r="A2" s="8" t="inlineStr">
        <is>
          <t>تخصیص‌ها ساختگی‌اند. مالکیت/تخصیص از «استفاده واقعی» جداست؛ مسئولیت هزینه با سیاست هر هزینه تعیین می‌شود.</t>
        </is>
      </c>
    </row>
    <row r="4" ht="32" customHeight="1">
      <c r="A4" s="5" t="inlineStr">
        <is>
          <t>شناسه جای پارک</t>
        </is>
      </c>
      <c r="B4" s="5" t="inlineStr">
        <is>
          <t>واحد</t>
        </is>
      </c>
      <c r="C4" s="5" t="inlineStr">
        <is>
          <t>نوع رابطه</t>
        </is>
      </c>
      <c r="D4" s="5" t="inlineStr">
        <is>
          <t>در استفاده</t>
        </is>
      </c>
      <c r="E4" s="5" t="inlineStr">
        <is>
          <t>خودرو / یادداشت</t>
        </is>
      </c>
    </row>
    <row r="5">
      <c r="A5" s="3" t="inlineStr">
        <is>
          <t>P1</t>
        </is>
      </c>
      <c r="B5" s="3" t="inlineStr">
        <is>
          <t>2-1</t>
        </is>
      </c>
      <c r="C5" s="3" t="inlineStr">
        <is>
          <t>مالکیت</t>
        </is>
      </c>
      <c r="D5" s="3" t="inlineStr">
        <is>
          <t>بله</t>
        </is>
      </c>
      <c r="E5" s="3" t="inlineStr">
        <is>
          <t>خودرو نمونه A</t>
        </is>
      </c>
    </row>
    <row r="6">
      <c r="A6" s="3" t="inlineStr">
        <is>
          <t>P2</t>
        </is>
      </c>
      <c r="B6" s="3" t="inlineStr">
        <is>
          <t>2-1</t>
        </is>
      </c>
      <c r="C6" s="3" t="inlineStr">
        <is>
          <t>مالکیت</t>
        </is>
      </c>
      <c r="D6" s="3" t="inlineStr">
        <is>
          <t>خیر</t>
        </is>
      </c>
      <c r="E6" s="3" t="inlineStr"/>
    </row>
    <row r="7">
      <c r="A7" s="3" t="inlineStr">
        <is>
          <t>P3</t>
        </is>
      </c>
      <c r="B7" s="3" t="inlineStr">
        <is>
          <t>3-1</t>
        </is>
      </c>
      <c r="C7" s="3" t="inlineStr">
        <is>
          <t>مالکیت</t>
        </is>
      </c>
      <c r="D7" s="3" t="inlineStr">
        <is>
          <t>بله</t>
        </is>
      </c>
      <c r="E7" s="3" t="inlineStr">
        <is>
          <t>خودرو نمونه B</t>
        </is>
      </c>
    </row>
    <row r="8">
      <c r="A8" s="3" t="inlineStr">
        <is>
          <t>P4</t>
        </is>
      </c>
      <c r="B8" s="3" t="inlineStr">
        <is>
          <t>3-1</t>
        </is>
      </c>
      <c r="C8" s="3" t="inlineStr">
        <is>
          <t>مالکیت</t>
        </is>
      </c>
      <c r="D8" s="3" t="inlineStr">
        <is>
          <t>بله</t>
        </is>
      </c>
      <c r="E8" s="3" t="inlineStr">
        <is>
          <t>خودرو نمونه C</t>
        </is>
      </c>
    </row>
    <row r="9">
      <c r="A9" s="3" t="inlineStr">
        <is>
          <t>P5</t>
        </is>
      </c>
      <c r="B9" s="3" t="inlineStr">
        <is>
          <t>4-1</t>
        </is>
      </c>
      <c r="C9" s="3" t="inlineStr">
        <is>
          <t>مالکیت</t>
        </is>
      </c>
      <c r="D9" s="3" t="inlineStr">
        <is>
          <t>بله</t>
        </is>
      </c>
      <c r="E9" s="3" t="inlineStr">
        <is>
          <t>خودرو نمونه D</t>
        </is>
      </c>
    </row>
    <row r="10">
      <c r="A10" s="3" t="inlineStr">
        <is>
          <t>P6</t>
        </is>
      </c>
      <c r="B10" s="3" t="inlineStr">
        <is>
          <t>2-2</t>
        </is>
      </c>
      <c r="C10" s="3" t="inlineStr">
        <is>
          <t>تخصیص</t>
        </is>
      </c>
      <c r="D10" s="3" t="inlineStr">
        <is>
          <t>بله</t>
        </is>
      </c>
      <c r="E10" s="3" t="inlineStr">
        <is>
          <t>خودرو نمونه E</t>
        </is>
      </c>
    </row>
    <row r="11">
      <c r="A11" s="3" t="inlineStr">
        <is>
          <t>P7</t>
        </is>
      </c>
      <c r="B11" s="3" t="inlineStr">
        <is>
          <t>3-2</t>
        </is>
      </c>
      <c r="C11" s="3" t="inlineStr">
        <is>
          <t>اجاره</t>
        </is>
      </c>
      <c r="D11" s="3" t="inlineStr">
        <is>
          <t>بله</t>
        </is>
      </c>
      <c r="E11" s="3" t="inlineStr">
        <is>
          <t>خودرو نمونه F</t>
        </is>
      </c>
    </row>
    <row r="12">
      <c r="A12" s="3" t="inlineStr">
        <is>
          <t>P8</t>
        </is>
      </c>
      <c r="B12" s="3" t="n"/>
      <c r="C12" s="3" t="n"/>
      <c r="D12" s="3" t="inlineStr">
        <is>
          <t>خیر</t>
        </is>
      </c>
      <c r="E12" s="3" t="inlineStr">
        <is>
          <t>بدون تخصیص</t>
        </is>
      </c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</sheetData>
  <dataValidations count="3">
    <dataValidation sqref="B5:B30" showDropDown="0" showInputMessage="0" showErrorMessage="1" allowBlank="1" errorTitle="مقدار نامعتبر" error="لطفاً از فهرست انتخاب کنید." type="list">
      <formula1>'واحدها'!$A$5:$A$13</formula1>
    </dataValidation>
    <dataValidation sqref="C5:C30" showDropDown="0" showInputMessage="0" showErrorMessage="1" allowBlank="1" errorTitle="مقدار نامعتبر" error="لطفاً از فهرست انتخاب کنید." type="list">
      <formula1>'فهرست‌ها'!$G$4:$G$6</formula1>
    </dataValidation>
    <dataValidation sqref="D5:D30" showDropDown="0" showInputMessage="0" showErrorMessage="1" allowBlank="1" errorTitle="مقدار نامعتبر" error="لطفاً از فهرست انتخاب کنید." type="list">
      <formula1>'فهرست‌ها'!$C$4:$C$5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14" customWidth="1" min="5" max="5"/>
    <col width="12" customWidth="1" min="6" max="6"/>
    <col width="12" customWidth="1" min="7" max="7"/>
    <col width="34" customWidth="1" min="8" max="8"/>
    <col width="12" customWidth="1" min="9" max="9"/>
    <col width="18" customWidth="1" min="10" max="10"/>
    <col width="30" customWidth="1" min="12" max="12"/>
    <col width="14" customWidth="1" min="13" max="13"/>
  </cols>
  <sheetData>
    <row r="1">
      <c r="A1" s="1" t="inlineStr">
        <is>
          <t>قرائت کنتورهای آب (m³)</t>
        </is>
      </c>
    </row>
    <row r="2">
      <c r="A2" s="8" t="inlineStr">
        <is>
          <t>قرائت‌ها ساختگی‌اند. مصرف منفی بدون علامت گردش کنتور «خطا» است و در کنترل‌ها گزارش می‌شود.</t>
        </is>
      </c>
    </row>
    <row r="4" ht="32" customHeight="1">
      <c r="A4" s="5" t="inlineStr">
        <is>
          <t>شناسه کنتور</t>
        </is>
      </c>
      <c r="B4" s="5" t="inlineStr">
        <is>
          <t>نقش</t>
        </is>
      </c>
      <c r="C4" s="5" t="inlineStr">
        <is>
          <t>واحد</t>
        </is>
      </c>
      <c r="D4" s="5" t="inlineStr">
        <is>
          <t>قرائت قبلی</t>
        </is>
      </c>
      <c r="E4" s="5" t="inlineStr">
        <is>
          <t>قرائت فعلی</t>
        </is>
      </c>
      <c r="F4" s="5" t="inlineStr">
        <is>
          <t>گردش کنتور؟</t>
        </is>
      </c>
      <c r="G4" s="5" t="inlineStr">
        <is>
          <t>حد گردش (m³)</t>
        </is>
      </c>
      <c r="H4" s="5" t="inlineStr">
        <is>
          <t>یادداشت / تعویض</t>
        </is>
      </c>
      <c r="I4" s="5" t="inlineStr">
        <is>
          <t>مصرف (m³)</t>
        </is>
      </c>
      <c r="J4" s="5" t="inlineStr">
        <is>
          <t>وضعیت</t>
        </is>
      </c>
      <c r="L4" s="13" t="inlineStr">
        <is>
          <t>تطبیق کنتور اصلی</t>
        </is>
      </c>
    </row>
    <row r="5">
      <c r="A5" s="3" t="inlineStr">
        <is>
          <t>M-MAIN</t>
        </is>
      </c>
      <c r="B5" s="3" t="inlineStr">
        <is>
          <t>اصلی</t>
        </is>
      </c>
      <c r="C5" s="3" t="n"/>
      <c r="D5" s="16" t="n">
        <v>5120</v>
      </c>
      <c r="E5" s="16" t="n">
        <v>5262</v>
      </c>
      <c r="F5" s="3" t="inlineStr">
        <is>
          <t>خیر</t>
        </is>
      </c>
      <c r="G5" s="7" t="n"/>
      <c r="H5" s="3" t="inlineStr">
        <is>
          <t>کنتور اصلی ساختمان</t>
        </is>
      </c>
      <c r="I5" s="15">
        <f>IF(OR(D5="",E5=""),0,IF(E5&gt;=D5,E5-D5,IF(AND(F5="بله",G5&gt;0),G5-D5+E5,0)))</f>
        <v/>
      </c>
      <c r="J5" s="4">
        <f>IF(A5="","",IF(OR(D5="",E5=""),"قرائت ناقص",IF(E5&gt;=D5,"عادی",IF(AND(F5="بله",G5&gt;0),"گردش کنتور","خطا: مصرف منفی"))))</f>
        <v/>
      </c>
      <c r="L5" s="6" t="inlineStr">
        <is>
          <t>مصرف کنتور اصلی (m³)</t>
        </is>
      </c>
      <c r="M5" s="15">
        <f>SUMIFS(I5:I30,B5:B30,"اصلی")</f>
        <v/>
      </c>
    </row>
    <row r="6">
      <c r="A6" s="3" t="inlineStr">
        <is>
          <t>M-11</t>
        </is>
      </c>
      <c r="B6" s="3" t="inlineStr">
        <is>
          <t>واحد</t>
        </is>
      </c>
      <c r="C6" s="3" t="inlineStr">
        <is>
          <t>1-1</t>
        </is>
      </c>
      <c r="D6" s="16" t="n">
        <v>310.2</v>
      </c>
      <c r="E6" s="16" t="n">
        <v>322.7</v>
      </c>
      <c r="F6" s="3" t="inlineStr">
        <is>
          <t>خیر</t>
        </is>
      </c>
      <c r="G6" s="7" t="n"/>
      <c r="H6" s="3" t="inlineStr"/>
      <c r="I6" s="15">
        <f>IF(OR(D6="",E6=""),0,IF(E6&gt;=D6,E6-D6,IF(AND(F6="بله",G6&gt;0),G6-D6+E6,0)))</f>
        <v/>
      </c>
      <c r="J6" s="4">
        <f>IF(A6="","",IF(OR(D6="",E6=""),"قرائت ناقص",IF(E6&gt;=D6,"عادی",IF(AND(F6="بله",G6&gt;0),"گردش کنتور","خطا: مصرف منفی"))))</f>
        <v/>
      </c>
      <c r="L6" s="6" t="inlineStr">
        <is>
          <t>مجموع مصرف کنتورهای واحد (m³)</t>
        </is>
      </c>
      <c r="M6" s="15">
        <f>SUMIFS(I5:I30,B5:B30,"واحد")</f>
        <v/>
      </c>
    </row>
    <row r="7">
      <c r="A7" s="3" t="inlineStr">
        <is>
          <t>M-12</t>
        </is>
      </c>
      <c r="B7" s="3" t="inlineStr">
        <is>
          <t>واحد</t>
        </is>
      </c>
      <c r="C7" s="3" t="inlineStr">
        <is>
          <t>1-2</t>
        </is>
      </c>
      <c r="D7" s="16" t="n">
        <v>205</v>
      </c>
      <c r="E7" s="16" t="n">
        <v>205</v>
      </c>
      <c r="F7" s="3" t="inlineStr">
        <is>
          <t>خیر</t>
        </is>
      </c>
      <c r="G7" s="7" t="n"/>
      <c r="H7" s="3" t="inlineStr">
        <is>
          <t>مصرف صفر (نمونه)</t>
        </is>
      </c>
      <c r="I7" s="15">
        <f>IF(OR(D7="",E7=""),0,IF(E7&gt;=D7,E7-D7,IF(AND(F7="بله",G7&gt;0),G7-D7+E7,0)))</f>
        <v/>
      </c>
      <c r="J7" s="4">
        <f>IF(A7="","",IF(OR(D7="",E7=""),"قرائت ناقص",IF(E7&gt;=D7,"عادی",IF(AND(F7="بله",G7&gt;0),"گردش کنتور","خطا: مصرف منفی"))))</f>
        <v/>
      </c>
      <c r="L7" s="6" t="inlineStr">
        <is>
          <t>مصرف تخصیص‌نیافته (m³)</t>
        </is>
      </c>
      <c r="M7" s="15">
        <f>M5-M6</f>
        <v/>
      </c>
    </row>
    <row r="8">
      <c r="A8" s="3" t="inlineStr">
        <is>
          <t>M-13</t>
        </is>
      </c>
      <c r="B8" s="3" t="inlineStr">
        <is>
          <t>واحد</t>
        </is>
      </c>
      <c r="C8" s="3" t="inlineStr">
        <is>
          <t>1-3</t>
        </is>
      </c>
      <c r="D8" s="16" t="n">
        <v>9998.5</v>
      </c>
      <c r="E8" s="16" t="n">
        <v>3.2</v>
      </c>
      <c r="F8" s="3" t="inlineStr">
        <is>
          <t>بله</t>
        </is>
      </c>
      <c r="G8" s="7" t="n">
        <v>10000</v>
      </c>
      <c r="H8" s="3" t="inlineStr">
        <is>
          <t>گردش کنتور از ۹۹۹۹ به صفر</t>
        </is>
      </c>
      <c r="I8" s="15">
        <f>IF(OR(D8="",E8=""),0,IF(E8&gt;=D8,E8-D8,IF(AND(F8="بله",G8&gt;0),G8-D8+E8,0)))</f>
        <v/>
      </c>
      <c r="J8" s="4">
        <f>IF(A8="","",IF(OR(D8="",E8=""),"قرائت ناقص",IF(E8&gt;=D8,"عادی",IF(AND(F8="بله",G8&gt;0),"گردش کنتور","خطا: مصرف منفی"))))</f>
        <v/>
      </c>
      <c r="L8" s="6" t="inlineStr">
        <is>
          <t>درصد تخصیص‌نیافته</t>
        </is>
      </c>
      <c r="M8" s="17">
        <f>IF(M5=0,0,M7/M5)</f>
        <v/>
      </c>
    </row>
    <row r="9">
      <c r="A9" s="3" t="inlineStr">
        <is>
          <t>M-21</t>
        </is>
      </c>
      <c r="B9" s="3" t="inlineStr">
        <is>
          <t>واحد</t>
        </is>
      </c>
      <c r="C9" s="3" t="inlineStr">
        <is>
          <t>2-1</t>
        </is>
      </c>
      <c r="D9" s="16" t="n">
        <v>1402.3</v>
      </c>
      <c r="E9" s="16" t="n">
        <v>1421.1</v>
      </c>
      <c r="F9" s="3" t="inlineStr">
        <is>
          <t>خیر</t>
        </is>
      </c>
      <c r="G9" s="7" t="n"/>
      <c r="H9" s="3" t="inlineStr"/>
      <c r="I9" s="15">
        <f>IF(OR(D9="",E9=""),0,IF(E9&gt;=D9,E9-D9,IF(AND(F9="بله",G9&gt;0),G9-D9+E9,0)))</f>
        <v/>
      </c>
      <c r="J9" s="4">
        <f>IF(A9="","",IF(OR(D9="",E9=""),"قرائت ناقص",IF(E9&gt;=D9,"عادی",IF(AND(F9="بله",G9&gt;0),"گردش کنتور","خطا: مصرف منفی"))))</f>
        <v/>
      </c>
      <c r="L9" s="6" t="inlineStr">
        <is>
          <t>تعداد خطای قرائت</t>
        </is>
      </c>
      <c r="M9" s="10">
        <f>COUNTIF(J5:J30,"خطا*")</f>
        <v/>
      </c>
    </row>
    <row r="10">
      <c r="A10" s="3" t="inlineStr">
        <is>
          <t>M-22-OLD</t>
        </is>
      </c>
      <c r="B10" s="3" t="inlineStr">
        <is>
          <t>واحد</t>
        </is>
      </c>
      <c r="C10" s="3" t="inlineStr">
        <is>
          <t>2-2</t>
        </is>
      </c>
      <c r="D10" s="16" t="n">
        <v>812</v>
      </c>
      <c r="E10" s="16" t="n">
        <v>815.4</v>
      </c>
      <c r="F10" s="3" t="inlineStr">
        <is>
          <t>خیر</t>
        </is>
      </c>
      <c r="G10" s="7" t="n"/>
      <c r="H10" s="3" t="inlineStr">
        <is>
          <t>کنتور قدیم - قرائت نهایی هنگام تعویض</t>
        </is>
      </c>
      <c r="I10" s="15">
        <f>IF(OR(D10="",E10=""),0,IF(E10&gt;=D10,E10-D10,IF(AND(F10="بله",G10&gt;0),G10-D10+E10,0)))</f>
        <v/>
      </c>
      <c r="J10" s="4">
        <f>IF(A10="","",IF(OR(D10="",E10=""),"قرائت ناقص",IF(E10&gt;=D10,"عادی",IF(AND(F10="بله",G10&gt;0),"گردش کنتور","خطا: مصرف منفی"))))</f>
        <v/>
      </c>
      <c r="L10" s="6" t="inlineStr">
        <is>
          <t>تعداد قرائت ناقص</t>
        </is>
      </c>
      <c r="M10" s="10">
        <f>COUNTIF(J5:J30,"قرائت ناقص")</f>
        <v/>
      </c>
    </row>
    <row r="11">
      <c r="A11" s="3" t="inlineStr">
        <is>
          <t>M-22-NEW</t>
        </is>
      </c>
      <c r="B11" s="3" t="inlineStr">
        <is>
          <t>واحد</t>
        </is>
      </c>
      <c r="C11" s="3" t="inlineStr">
        <is>
          <t>2-2</t>
        </is>
      </c>
      <c r="D11" s="16" t="n">
        <v>0</v>
      </c>
      <c r="E11" s="16" t="n">
        <v>6.1</v>
      </c>
      <c r="F11" s="3" t="inlineStr">
        <is>
          <t>خیر</t>
        </is>
      </c>
      <c r="G11" s="7" t="n"/>
      <c r="H11" s="3" t="inlineStr">
        <is>
          <t>کنتور جدید - قرائت اولیه صفر</t>
        </is>
      </c>
      <c r="I11" s="15">
        <f>IF(OR(D11="",E11=""),0,IF(E11&gt;=D11,E11-D11,IF(AND(F11="بله",G11&gt;0),G11-D11+E11,0)))</f>
        <v/>
      </c>
      <c r="J11" s="4">
        <f>IF(A11="","",IF(OR(D11="",E11=""),"قرائت ناقص",IF(E11&gt;=D11,"عادی",IF(AND(F11="بله",G11&gt;0),"گردش کنتور","خطا: مصرف منفی"))))</f>
        <v/>
      </c>
    </row>
    <row r="12">
      <c r="A12" s="3" t="inlineStr">
        <is>
          <t>M-31</t>
        </is>
      </c>
      <c r="B12" s="3" t="inlineStr">
        <is>
          <t>واحد</t>
        </is>
      </c>
      <c r="C12" s="3" t="inlineStr">
        <is>
          <t>3-1</t>
        </is>
      </c>
      <c r="D12" s="16" t="n">
        <v>1650</v>
      </c>
      <c r="E12" s="16" t="n">
        <v>1672.4</v>
      </c>
      <c r="F12" s="3" t="inlineStr">
        <is>
          <t>خیر</t>
        </is>
      </c>
      <c r="G12" s="7" t="n"/>
      <c r="H12" s="3" t="inlineStr"/>
      <c r="I12" s="15">
        <f>IF(OR(D12="",E12=""),0,IF(E12&gt;=D12,E12-D12,IF(AND(F12="بله",G12&gt;0),G12-D12+E12,0)))</f>
        <v/>
      </c>
      <c r="J12" s="4">
        <f>IF(A12="","",IF(OR(D12="",E12=""),"قرائت ناقص",IF(E12&gt;=D12,"عادی",IF(AND(F12="بله",G12&gt;0),"گردش کنتور","خطا: مصرف منفی"))))</f>
        <v/>
      </c>
    </row>
    <row r="13">
      <c r="A13" s="3" t="inlineStr">
        <is>
          <t>M-32</t>
        </is>
      </c>
      <c r="B13" s="3" t="inlineStr">
        <is>
          <t>واحد</t>
        </is>
      </c>
      <c r="C13" s="3" t="inlineStr">
        <is>
          <t>3-2</t>
        </is>
      </c>
      <c r="D13" s="16" t="n">
        <v>980.5</v>
      </c>
      <c r="E13" s="16" t="n">
        <v>994.2</v>
      </c>
      <c r="F13" s="3" t="inlineStr">
        <is>
          <t>خیر</t>
        </is>
      </c>
      <c r="G13" s="7" t="n"/>
      <c r="H13" s="3" t="inlineStr"/>
      <c r="I13" s="15">
        <f>IF(OR(D13="",E13=""),0,IF(E13&gt;=D13,E13-D13,IF(AND(F13="بله",G13&gt;0),G13-D13+E13,0)))</f>
        <v/>
      </c>
      <c r="J13" s="4">
        <f>IF(A13="","",IF(OR(D13="",E13=""),"قرائت ناقص",IF(E13&gt;=D13,"عادی",IF(AND(F13="بله",G13&gt;0),"گردش کنتور","خطا: مصرف منفی"))))</f>
        <v/>
      </c>
    </row>
    <row r="14">
      <c r="A14" s="3" t="inlineStr">
        <is>
          <t>M-41</t>
        </is>
      </c>
      <c r="B14" s="3" t="inlineStr">
        <is>
          <t>واحد</t>
        </is>
      </c>
      <c r="C14" s="3" t="inlineStr">
        <is>
          <t>4-1</t>
        </is>
      </c>
      <c r="D14" s="16" t="n">
        <v>1710</v>
      </c>
      <c r="E14" s="16" t="n">
        <v>1731.3</v>
      </c>
      <c r="F14" s="3" t="inlineStr">
        <is>
          <t>خیر</t>
        </is>
      </c>
      <c r="G14" s="7" t="n"/>
      <c r="H14" s="3" t="inlineStr"/>
      <c r="I14" s="15">
        <f>IF(OR(D14="",E14=""),0,IF(E14&gt;=D14,E14-D14,IF(AND(F14="بله",G14&gt;0),G14-D14+E14,0)))</f>
        <v/>
      </c>
      <c r="J14" s="4">
        <f>IF(A14="","",IF(OR(D14="",E14=""),"قرائت ناقص",IF(E14&gt;=D14,"عادی",IF(AND(F14="بله",G14&gt;0),"گردش کنتور","خطا: مصرف منفی"))))</f>
        <v/>
      </c>
    </row>
    <row r="15">
      <c r="A15" s="3" t="inlineStr">
        <is>
          <t>M-42</t>
        </is>
      </c>
      <c r="B15" s="3" t="inlineStr">
        <is>
          <t>واحد</t>
        </is>
      </c>
      <c r="C15" s="3" t="inlineStr">
        <is>
          <t>4-2</t>
        </is>
      </c>
      <c r="D15" s="16" t="n">
        <v>1005</v>
      </c>
      <c r="E15" s="16" t="n">
        <v>1017.6</v>
      </c>
      <c r="F15" s="3" t="inlineStr">
        <is>
          <t>خیر</t>
        </is>
      </c>
      <c r="G15" s="7" t="n"/>
      <c r="H15" s="3" t="inlineStr"/>
      <c r="I15" s="15">
        <f>IF(OR(D15="",E15=""),0,IF(E15&gt;=D15,E15-D15,IF(AND(F15="بله",G15&gt;0),G15-D15+E15,0)))</f>
        <v/>
      </c>
      <c r="J15" s="4">
        <f>IF(A15="","",IF(OR(D15="",E15=""),"قرائت ناقص",IF(E15&gt;=D15,"عادی",IF(AND(F15="بله",G15&gt;0),"گردش کنتور","خطا: مصرف منفی"))))</f>
        <v/>
      </c>
    </row>
    <row r="16">
      <c r="A16" s="3" t="n"/>
      <c r="B16" s="3" t="n"/>
      <c r="C16" s="3" t="n"/>
      <c r="D16" s="16" t="n"/>
      <c r="E16" s="16" t="n"/>
      <c r="F16" s="3" t="n"/>
      <c r="G16" s="7" t="n"/>
      <c r="H16" s="3" t="n"/>
      <c r="I16" s="15">
        <f>IF(OR(D16="",E16=""),0,IF(E16&gt;=D16,E16-D16,IF(AND(F16="بله",G16&gt;0),G16-D16+E16,0)))</f>
        <v/>
      </c>
      <c r="J16" s="4">
        <f>IF(A16="","",IF(OR(D16="",E16=""),"قرائت ناقص",IF(E16&gt;=D16,"عادی",IF(AND(F16="بله",G16&gt;0),"گردش کنتور","خطا: مصرف منفی"))))</f>
        <v/>
      </c>
    </row>
    <row r="17">
      <c r="A17" s="3" t="n"/>
      <c r="B17" s="3" t="n"/>
      <c r="C17" s="3" t="n"/>
      <c r="D17" s="16" t="n"/>
      <c r="E17" s="16" t="n"/>
      <c r="F17" s="3" t="n"/>
      <c r="G17" s="7" t="n"/>
      <c r="H17" s="3" t="n"/>
      <c r="I17" s="15">
        <f>IF(OR(D17="",E17=""),0,IF(E17&gt;=D17,E17-D17,IF(AND(F17="بله",G17&gt;0),G17-D17+E17,0)))</f>
        <v/>
      </c>
      <c r="J17" s="4">
        <f>IF(A17="","",IF(OR(D17="",E17=""),"قرائت ناقص",IF(E17&gt;=D17,"عادی",IF(AND(F17="بله",G17&gt;0),"گردش کنتور","خطا: مصرف منفی"))))</f>
        <v/>
      </c>
    </row>
    <row r="18">
      <c r="A18" s="3" t="n"/>
      <c r="B18" s="3" t="n"/>
      <c r="C18" s="3" t="n"/>
      <c r="D18" s="16" t="n"/>
      <c r="E18" s="16" t="n"/>
      <c r="F18" s="3" t="n"/>
      <c r="G18" s="7" t="n"/>
      <c r="H18" s="3" t="n"/>
      <c r="I18" s="15">
        <f>IF(OR(D18="",E18=""),0,IF(E18&gt;=D18,E18-D18,IF(AND(F18="بله",G18&gt;0),G18-D18+E18,0)))</f>
        <v/>
      </c>
      <c r="J18" s="4">
        <f>IF(A18="","",IF(OR(D18="",E18=""),"قرائت ناقص",IF(E18&gt;=D18,"عادی",IF(AND(F18="بله",G18&gt;0),"گردش کنتور","خطا: مصرف منفی"))))</f>
        <v/>
      </c>
    </row>
    <row r="19">
      <c r="A19" s="3" t="n"/>
      <c r="B19" s="3" t="n"/>
      <c r="C19" s="3" t="n"/>
      <c r="D19" s="16" t="n"/>
      <c r="E19" s="16" t="n"/>
      <c r="F19" s="3" t="n"/>
      <c r="G19" s="7" t="n"/>
      <c r="H19" s="3" t="n"/>
      <c r="I19" s="15">
        <f>IF(OR(D19="",E19=""),0,IF(E19&gt;=D19,E19-D19,IF(AND(F19="بله",G19&gt;0),G19-D19+E19,0)))</f>
        <v/>
      </c>
      <c r="J19" s="4">
        <f>IF(A19="","",IF(OR(D19="",E19=""),"قرائت ناقص",IF(E19&gt;=D19,"عادی",IF(AND(F19="بله",G19&gt;0),"گردش کنتور","خطا: مصرف منفی"))))</f>
        <v/>
      </c>
    </row>
    <row r="20">
      <c r="A20" s="3" t="n"/>
      <c r="B20" s="3" t="n"/>
      <c r="C20" s="3" t="n"/>
      <c r="D20" s="16" t="n"/>
      <c r="E20" s="16" t="n"/>
      <c r="F20" s="3" t="n"/>
      <c r="G20" s="7" t="n"/>
      <c r="H20" s="3" t="n"/>
      <c r="I20" s="15">
        <f>IF(OR(D20="",E20=""),0,IF(E20&gt;=D20,E20-D20,IF(AND(F20="بله",G20&gt;0),G20-D20+E20,0)))</f>
        <v/>
      </c>
      <c r="J20" s="4">
        <f>IF(A20="","",IF(OR(D20="",E20=""),"قرائت ناقص",IF(E20&gt;=D20,"عادی",IF(AND(F20="بله",G20&gt;0),"گردش کنتور","خطا: مصرف منفی"))))</f>
        <v/>
      </c>
    </row>
    <row r="21">
      <c r="A21" s="3" t="n"/>
      <c r="B21" s="3" t="n"/>
      <c r="C21" s="3" t="n"/>
      <c r="D21" s="16" t="n"/>
      <c r="E21" s="16" t="n"/>
      <c r="F21" s="3" t="n"/>
      <c r="G21" s="7" t="n"/>
      <c r="H21" s="3" t="n"/>
      <c r="I21" s="15">
        <f>IF(OR(D21="",E21=""),0,IF(E21&gt;=D21,E21-D21,IF(AND(F21="بله",G21&gt;0),G21-D21+E21,0)))</f>
        <v/>
      </c>
      <c r="J21" s="4">
        <f>IF(A21="","",IF(OR(D21="",E21=""),"قرائت ناقص",IF(E21&gt;=D21,"عادی",IF(AND(F21="بله",G21&gt;0),"گردش کنتور","خطا: مصرف منفی"))))</f>
        <v/>
      </c>
    </row>
    <row r="22">
      <c r="A22" s="3" t="n"/>
      <c r="B22" s="3" t="n"/>
      <c r="C22" s="3" t="n"/>
      <c r="D22" s="16" t="n"/>
      <c r="E22" s="16" t="n"/>
      <c r="F22" s="3" t="n"/>
      <c r="G22" s="7" t="n"/>
      <c r="H22" s="3" t="n"/>
      <c r="I22" s="15">
        <f>IF(OR(D22="",E22=""),0,IF(E22&gt;=D22,E22-D22,IF(AND(F22="بله",G22&gt;0),G22-D22+E22,0)))</f>
        <v/>
      </c>
      <c r="J22" s="4">
        <f>IF(A22="","",IF(OR(D22="",E22=""),"قرائت ناقص",IF(E22&gt;=D22,"عادی",IF(AND(F22="بله",G22&gt;0),"گردش کنتور","خطا: مصرف منفی"))))</f>
        <v/>
      </c>
    </row>
    <row r="23">
      <c r="A23" s="3" t="n"/>
      <c r="B23" s="3" t="n"/>
      <c r="C23" s="3" t="n"/>
      <c r="D23" s="16" t="n"/>
      <c r="E23" s="16" t="n"/>
      <c r="F23" s="3" t="n"/>
      <c r="G23" s="7" t="n"/>
      <c r="H23" s="3" t="n"/>
      <c r="I23" s="15">
        <f>IF(OR(D23="",E23=""),0,IF(E23&gt;=D23,E23-D23,IF(AND(F23="بله",G23&gt;0),G23-D23+E23,0)))</f>
        <v/>
      </c>
      <c r="J23" s="4">
        <f>IF(A23="","",IF(OR(D23="",E23=""),"قرائت ناقص",IF(E23&gt;=D23,"عادی",IF(AND(F23="بله",G23&gt;0),"گردش کنتور","خطا: مصرف منفی"))))</f>
        <v/>
      </c>
    </row>
    <row r="24">
      <c r="A24" s="3" t="n"/>
      <c r="B24" s="3" t="n"/>
      <c r="C24" s="3" t="n"/>
      <c r="D24" s="16" t="n"/>
      <c r="E24" s="16" t="n"/>
      <c r="F24" s="3" t="n"/>
      <c r="G24" s="7" t="n"/>
      <c r="H24" s="3" t="n"/>
      <c r="I24" s="15">
        <f>IF(OR(D24="",E24=""),0,IF(E24&gt;=D24,E24-D24,IF(AND(F24="بله",G24&gt;0),G24-D24+E24,0)))</f>
        <v/>
      </c>
      <c r="J24" s="4">
        <f>IF(A24="","",IF(OR(D24="",E24=""),"قرائت ناقص",IF(E24&gt;=D24,"عادی",IF(AND(F24="بله",G24&gt;0),"گردش کنتور","خطا: مصرف منفی"))))</f>
        <v/>
      </c>
    </row>
    <row r="25">
      <c r="A25" s="3" t="n"/>
      <c r="B25" s="3" t="n"/>
      <c r="C25" s="3" t="n"/>
      <c r="D25" s="16" t="n"/>
      <c r="E25" s="16" t="n"/>
      <c r="F25" s="3" t="n"/>
      <c r="G25" s="7" t="n"/>
      <c r="H25" s="3" t="n"/>
      <c r="I25" s="15">
        <f>IF(OR(D25="",E25=""),0,IF(E25&gt;=D25,E25-D25,IF(AND(F25="بله",G25&gt;0),G25-D25+E25,0)))</f>
        <v/>
      </c>
      <c r="J25" s="4">
        <f>IF(A25="","",IF(OR(D25="",E25=""),"قرائت ناقص",IF(E25&gt;=D25,"عادی",IF(AND(F25="بله",G25&gt;0),"گردش کنتور","خطا: مصرف منفی"))))</f>
        <v/>
      </c>
    </row>
    <row r="26">
      <c r="A26" s="3" t="n"/>
      <c r="B26" s="3" t="n"/>
      <c r="C26" s="3" t="n"/>
      <c r="D26" s="16" t="n"/>
      <c r="E26" s="16" t="n"/>
      <c r="F26" s="3" t="n"/>
      <c r="G26" s="7" t="n"/>
      <c r="H26" s="3" t="n"/>
      <c r="I26" s="15">
        <f>IF(OR(D26="",E26=""),0,IF(E26&gt;=D26,E26-D26,IF(AND(F26="بله",G26&gt;0),G26-D26+E26,0)))</f>
        <v/>
      </c>
      <c r="J26" s="4">
        <f>IF(A26="","",IF(OR(D26="",E26=""),"قرائت ناقص",IF(E26&gt;=D26,"عادی",IF(AND(F26="بله",G26&gt;0),"گردش کنتور","خطا: مصرف منفی"))))</f>
        <v/>
      </c>
    </row>
    <row r="27">
      <c r="A27" s="3" t="n"/>
      <c r="B27" s="3" t="n"/>
      <c r="C27" s="3" t="n"/>
      <c r="D27" s="16" t="n"/>
      <c r="E27" s="16" t="n"/>
      <c r="F27" s="3" t="n"/>
      <c r="G27" s="7" t="n"/>
      <c r="H27" s="3" t="n"/>
      <c r="I27" s="15">
        <f>IF(OR(D27="",E27=""),0,IF(E27&gt;=D27,E27-D27,IF(AND(F27="بله",G27&gt;0),G27-D27+E27,0)))</f>
        <v/>
      </c>
      <c r="J27" s="4">
        <f>IF(A27="","",IF(OR(D27="",E27=""),"قرائت ناقص",IF(E27&gt;=D27,"عادی",IF(AND(F27="بله",G27&gt;0),"گردش کنتور","خطا: مصرف منفی"))))</f>
        <v/>
      </c>
    </row>
    <row r="28">
      <c r="A28" s="3" t="n"/>
      <c r="B28" s="3" t="n"/>
      <c r="C28" s="3" t="n"/>
      <c r="D28" s="16" t="n"/>
      <c r="E28" s="16" t="n"/>
      <c r="F28" s="3" t="n"/>
      <c r="G28" s="7" t="n"/>
      <c r="H28" s="3" t="n"/>
      <c r="I28" s="15">
        <f>IF(OR(D28="",E28=""),0,IF(E28&gt;=D28,E28-D28,IF(AND(F28="بله",G28&gt;0),G28-D28+E28,0)))</f>
        <v/>
      </c>
      <c r="J28" s="4">
        <f>IF(A28="","",IF(OR(D28="",E28=""),"قرائت ناقص",IF(E28&gt;=D28,"عادی",IF(AND(F28="بله",G28&gt;0),"گردش کنتور","خطا: مصرف منفی"))))</f>
        <v/>
      </c>
    </row>
    <row r="29">
      <c r="A29" s="3" t="n"/>
      <c r="B29" s="3" t="n"/>
      <c r="C29" s="3" t="n"/>
      <c r="D29" s="16" t="n"/>
      <c r="E29" s="16" t="n"/>
      <c r="F29" s="3" t="n"/>
      <c r="G29" s="7" t="n"/>
      <c r="H29" s="3" t="n"/>
      <c r="I29" s="15">
        <f>IF(OR(D29="",E29=""),0,IF(E29&gt;=D29,E29-D29,IF(AND(F29="بله",G29&gt;0),G29-D29+E29,0)))</f>
        <v/>
      </c>
      <c r="J29" s="4">
        <f>IF(A29="","",IF(OR(D29="",E29=""),"قرائت ناقص",IF(E29&gt;=D29,"عادی",IF(AND(F29="بله",G29&gt;0),"گردش کنتور","خطا: مصرف منفی"))))</f>
        <v/>
      </c>
    </row>
    <row r="30">
      <c r="A30" s="3" t="n"/>
      <c r="B30" s="3" t="n"/>
      <c r="C30" s="3" t="n"/>
      <c r="D30" s="16" t="n"/>
      <c r="E30" s="16" t="n"/>
      <c r="F30" s="3" t="n"/>
      <c r="G30" s="7" t="n"/>
      <c r="H30" s="3" t="n"/>
      <c r="I30" s="15">
        <f>IF(OR(D30="",E30=""),0,IF(E30&gt;=D30,E30-D30,IF(AND(F30="بله",G30&gt;0),G30-D30+E30,0)))</f>
        <v/>
      </c>
      <c r="J30" s="4">
        <f>IF(A30="","",IF(OR(D30="",E30=""),"قرائت ناقص",IF(E30&gt;=D30,"عادی",IF(AND(F30="بله",G30&gt;0),"گردش کنتور","خطا: مصرف منفی"))))</f>
        <v/>
      </c>
    </row>
  </sheetData>
  <dataValidations count="4">
    <dataValidation sqref="B5:B30" showDropDown="0" showInputMessage="0" showErrorMessage="1" allowBlank="1" errorTitle="مقدار نامعتبر" error="لطفاً از فهرست انتخاب کنید." type="list">
      <formula1>'فهرست‌ها'!$K$4:$K$5</formula1>
    </dataValidation>
    <dataValidation sqref="C5:C30" showDropDown="0" showInputMessage="0" showErrorMessage="1" allowBlank="1" errorTitle="مقدار نامعتبر" error="لطفاً از فهرست انتخاب کنید." type="list">
      <formula1>'واحدها'!$A$5:$A$13</formula1>
    </dataValidation>
    <dataValidation sqref="F5:F30" showDropDown="0" showInputMessage="0" showErrorMessage="1" allowBlank="1" errorTitle="مقدار نامعتبر" error="لطفاً از فهرست انتخاب کنید." type="list">
      <formula1>'فهرست‌ها'!$C$4:$C$5</formula1>
    </dataValidation>
    <dataValidation sqref="D5:E30" showDropDown="0" showInputMessage="0" showErrorMessage="1" allowBlank="1" errorTitle="مقدار نامعتبر" error="مقدار باید عدد نامنفی باشد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دوره‌های صورتحساب</t>
        </is>
      </c>
    </row>
    <row r="4" ht="32" customHeight="1">
      <c r="A4" s="5" t="inlineStr">
        <is>
          <t>شناسه دوره</t>
        </is>
      </c>
      <c r="B4" s="5" t="inlineStr">
        <is>
          <t>نام</t>
        </is>
      </c>
      <c r="C4" s="5" t="inlineStr">
        <is>
          <t>شروع</t>
        </is>
      </c>
      <c r="D4" s="5" t="inlineStr">
        <is>
          <t>پایان</t>
        </is>
      </c>
      <c r="E4" s="5" t="inlineStr">
        <is>
          <t>مهلت پرداخت</t>
        </is>
      </c>
      <c r="F4" s="5" t="inlineStr">
        <is>
          <t>وضعیت</t>
        </is>
      </c>
    </row>
    <row r="5">
      <c r="A5" s="3" t="inlineStr">
        <is>
          <t>1405-07</t>
        </is>
      </c>
      <c r="B5" s="3" t="inlineStr">
        <is>
          <t>مهر ۱۴۰۵ (نمونه)</t>
        </is>
      </c>
      <c r="C5" s="3" t="inlineStr">
        <is>
          <t>1405/07/01</t>
        </is>
      </c>
      <c r="D5" s="3" t="inlineStr">
        <is>
          <t>1405/07/30</t>
        </is>
      </c>
      <c r="E5" s="3" t="inlineStr">
        <is>
          <t>1405/08/10</t>
        </is>
      </c>
      <c r="F5" s="3" t="inlineStr">
        <is>
          <t>پیش‌نویس</t>
        </is>
      </c>
    </row>
    <row r="7">
      <c r="A7" s="8" t="inlineStr">
        <is>
          <t>وضعیت «قطعی» یعنی ورودی‌ها، قواعد و نتایج دوره ثابت می‌شوند و اصلاح فقط با سند تعدیل مرتبط انجام می‌شود.</t>
        </is>
      </c>
    </row>
  </sheetData>
  <dataValidations count="1">
    <dataValidation sqref="F5:F20" showDropDown="0" showInputMessage="0" showErrorMessage="1" allowBlank="1" errorTitle="مقدار نامعتبر" error="لطفاً از فهرست انتخاب کنید." type="list">
      <formula1>"پیش‌نویس,قطعی"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دسته‌های هزینه و سیاست پیش‌فرض تسهیم</t>
        </is>
      </c>
    </row>
    <row r="2">
      <c r="A2" s="8" t="inlineStr">
        <is>
          <t>نمونه‌اند، نه قاعده حقوقی. هر ساختمان سیاست خود را انتخاب می‌کند.</t>
        </is>
      </c>
    </row>
    <row r="4" ht="32" customHeight="1">
      <c r="A4" s="5" t="inlineStr">
        <is>
          <t>دسته</t>
        </is>
      </c>
      <c r="B4" s="5" t="inlineStr">
        <is>
          <t>مبنای پیش‌فرض</t>
        </is>
      </c>
      <c r="C4" s="5" t="inlineStr">
        <is>
          <t>صندوق پیش‌فرض</t>
        </is>
      </c>
      <c r="D4" s="5" t="inlineStr">
        <is>
          <t>مربوط به آب؟</t>
        </is>
      </c>
      <c r="E4" s="5" t="inlineStr">
        <is>
          <t>فعال</t>
        </is>
      </c>
    </row>
    <row r="5">
      <c r="A5" s="3" t="inlineStr">
        <is>
          <t>نظافت</t>
        </is>
      </c>
      <c r="B5" s="3" t="inlineStr">
        <is>
          <t>نفر</t>
        </is>
      </c>
      <c r="C5" s="3" t="inlineStr">
        <is>
          <t>عملیاتی</t>
        </is>
      </c>
      <c r="D5" s="3" t="inlineStr">
        <is>
          <t>خیر</t>
        </is>
      </c>
      <c r="E5" s="3" t="inlineStr">
        <is>
          <t>بله</t>
        </is>
      </c>
    </row>
    <row r="6">
      <c r="A6" s="3" t="inlineStr">
        <is>
          <t>هزینه‌های عمومی</t>
        </is>
      </c>
      <c r="B6" s="3" t="inlineStr">
        <is>
          <t>مساوی</t>
        </is>
      </c>
      <c r="C6" s="3" t="inlineStr">
        <is>
          <t>عملیاتی</t>
        </is>
      </c>
      <c r="D6" s="3" t="inlineStr">
        <is>
          <t>خیر</t>
        </is>
      </c>
      <c r="E6" s="3" t="inlineStr">
        <is>
          <t>بله</t>
        </is>
      </c>
    </row>
    <row r="7">
      <c r="A7" s="3" t="inlineStr">
        <is>
          <t>تعمیر و نگهداری ساختمان</t>
        </is>
      </c>
      <c r="B7" s="3" t="inlineStr">
        <is>
          <t>متراژ</t>
        </is>
      </c>
      <c r="C7" s="3" t="inlineStr">
        <is>
          <t>عملیاتی</t>
        </is>
      </c>
      <c r="D7" s="3" t="inlineStr">
        <is>
          <t>خیر</t>
        </is>
      </c>
      <c r="E7" s="3" t="inlineStr">
        <is>
          <t>بله</t>
        </is>
      </c>
    </row>
    <row r="8">
      <c r="A8" s="3" t="inlineStr">
        <is>
          <t>آب</t>
        </is>
      </c>
      <c r="B8" s="3" t="inlineStr">
        <is>
          <t>مصرف + سهم مشترک</t>
        </is>
      </c>
      <c r="C8" s="3" t="inlineStr">
        <is>
          <t>عملیاتی</t>
        </is>
      </c>
      <c r="D8" s="3" t="inlineStr">
        <is>
          <t>بله</t>
        </is>
      </c>
      <c r="E8" s="3" t="inlineStr">
        <is>
          <t>بله</t>
        </is>
      </c>
    </row>
    <row r="9">
      <c r="A9" s="3" t="inlineStr">
        <is>
          <t>برق پارکینگ</t>
        </is>
      </c>
      <c r="B9" s="3" t="inlineStr">
        <is>
          <t>پارکینگ (در استفاده)</t>
        </is>
      </c>
      <c r="C9" s="3" t="inlineStr">
        <is>
          <t>عملیاتی</t>
        </is>
      </c>
      <c r="D9" s="3" t="inlineStr">
        <is>
          <t>خیر</t>
        </is>
      </c>
      <c r="E9" s="3" t="inlineStr">
        <is>
          <t>بله</t>
        </is>
      </c>
    </row>
    <row r="10">
      <c r="A10" s="3" t="inlineStr">
        <is>
          <t>سرویس آسانسور</t>
        </is>
      </c>
      <c r="B10" s="3" t="inlineStr">
        <is>
          <t>وزنی</t>
        </is>
      </c>
      <c r="C10" s="3" t="inlineStr">
        <is>
          <t>عملیاتی</t>
        </is>
      </c>
      <c r="D10" s="3" t="inlineStr">
        <is>
          <t>خیر</t>
        </is>
      </c>
      <c r="E10" s="3" t="inlineStr">
        <is>
          <t>بله</t>
        </is>
      </c>
    </row>
    <row r="11">
      <c r="A11" s="3" t="inlineStr">
        <is>
          <t>تعمیرات اختصاصی</t>
        </is>
      </c>
      <c r="B11" s="3" t="inlineStr">
        <is>
          <t>مبلغ صریح</t>
        </is>
      </c>
      <c r="C11" s="3" t="inlineStr">
        <is>
          <t>عملیاتی</t>
        </is>
      </c>
      <c r="D11" s="3" t="inlineStr">
        <is>
          <t>خیر</t>
        </is>
      </c>
      <c r="E11" s="3" t="inlineStr">
        <is>
          <t>بله</t>
        </is>
      </c>
    </row>
    <row r="12">
      <c r="A12" s="3" t="inlineStr">
        <is>
          <t>تعمیرات اضطراری</t>
        </is>
      </c>
      <c r="B12" s="3" t="inlineStr">
        <is>
          <t>بدون تسهیم (صندوق)</t>
        </is>
      </c>
      <c r="C12" s="3" t="inlineStr">
        <is>
          <t>اندوخته</t>
        </is>
      </c>
      <c r="D12" s="3" t="inlineStr">
        <is>
          <t>خیر</t>
        </is>
      </c>
      <c r="E12" s="3" t="inlineStr">
        <is>
          <t>بله</t>
        </is>
      </c>
    </row>
    <row r="13">
      <c r="A13" s="3" t="inlineStr">
        <is>
          <t>اندوخته</t>
        </is>
      </c>
      <c r="B13" s="3" t="inlineStr">
        <is>
          <t>مساوی</t>
        </is>
      </c>
      <c r="C13" s="3" t="inlineStr">
        <is>
          <t>اندوخته</t>
        </is>
      </c>
      <c r="D13" s="3" t="inlineStr">
        <is>
          <t>خیر</t>
        </is>
      </c>
      <c r="E13" s="3" t="inlineStr">
        <is>
          <t>بله</t>
        </is>
      </c>
    </row>
    <row r="14">
      <c r="A14" s="3" t="inlineStr">
        <is>
          <t>برق مشاعات</t>
        </is>
      </c>
      <c r="B14" s="3" t="inlineStr">
        <is>
          <t>متراژ</t>
        </is>
      </c>
      <c r="C14" s="3" t="inlineStr">
        <is>
          <t>عملیاتی</t>
        </is>
      </c>
      <c r="D14" s="3" t="inlineStr">
        <is>
          <t>خیر</t>
        </is>
      </c>
      <c r="E14" s="3" t="inlineStr">
        <is>
          <t>بله</t>
        </is>
      </c>
    </row>
    <row r="15">
      <c r="A15" s="3" t="inlineStr">
        <is>
          <t>لوله‌کشی</t>
        </is>
      </c>
      <c r="B15" s="3" t="inlineStr">
        <is>
          <t>مساوی</t>
        </is>
      </c>
      <c r="C15" s="3" t="inlineStr">
        <is>
          <t>عملیاتی</t>
        </is>
      </c>
      <c r="D15" s="3" t="inlineStr">
        <is>
          <t>خیر</t>
        </is>
      </c>
      <c r="E15" s="3" t="inlineStr">
        <is>
          <t>بله</t>
        </is>
      </c>
    </row>
    <row r="16">
      <c r="A16" s="3" t="inlineStr">
        <is>
          <t>فضای سبز</t>
        </is>
      </c>
      <c r="B16" s="3" t="inlineStr">
        <is>
          <t>مساوی</t>
        </is>
      </c>
      <c r="C16" s="3" t="inlineStr">
        <is>
          <t>عملیاتی</t>
        </is>
      </c>
      <c r="D16" s="3" t="inlineStr">
        <is>
          <t>خیر</t>
        </is>
      </c>
      <c r="E16" s="3" t="inlineStr">
        <is>
          <t>بله</t>
        </is>
      </c>
    </row>
    <row r="17">
      <c r="A17" s="3" t="inlineStr">
        <is>
          <t>امنیت</t>
        </is>
      </c>
      <c r="B17" s="3" t="inlineStr">
        <is>
          <t>مساوی</t>
        </is>
      </c>
      <c r="C17" s="3" t="inlineStr">
        <is>
          <t>عملیاتی</t>
        </is>
      </c>
      <c r="D17" s="3" t="inlineStr">
        <is>
          <t>خیر</t>
        </is>
      </c>
      <c r="E17" s="3" t="inlineStr">
        <is>
          <t>بله</t>
        </is>
      </c>
    </row>
    <row r="18">
      <c r="A18" s="3" t="inlineStr">
        <is>
          <t>هزینه‌های اداری</t>
        </is>
      </c>
      <c r="B18" s="3" t="inlineStr">
        <is>
          <t>مساوی</t>
        </is>
      </c>
      <c r="C18" s="3" t="inlineStr">
        <is>
          <t>عملیاتی</t>
        </is>
      </c>
      <c r="D18" s="3" t="inlineStr">
        <is>
          <t>خیر</t>
        </is>
      </c>
      <c r="E18" s="3" t="inlineStr">
        <is>
          <t>بله</t>
        </is>
      </c>
    </row>
    <row r="19">
      <c r="A19" s="3" t="inlineStr">
        <is>
          <t>سایر</t>
        </is>
      </c>
      <c r="B19" s="3" t="inlineStr">
        <is>
          <t>مساوی</t>
        </is>
      </c>
      <c r="C19" s="3" t="inlineStr">
        <is>
          <t>عملیاتی</t>
        </is>
      </c>
      <c r="D19" s="3" t="inlineStr">
        <is>
          <t>خیر</t>
        </is>
      </c>
      <c r="E19" s="3" t="inlineStr">
        <is>
          <t>بله</t>
        </is>
      </c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</sheetData>
  <dataValidations count="3">
    <dataValidation sqref="B5:B25" showDropDown="0" showInputMessage="0" showErrorMessage="1" allowBlank="1" errorTitle="مقدار نامعتبر" error="لطفاً از فهرست انتخاب کنید." type="list">
      <formula1>'فهرست‌ها'!$A$4:$A$13</formula1>
    </dataValidation>
    <dataValidation sqref="C5:C25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D5:E25" showDropDown="0" showInputMessage="0" showErrorMessage="1" allowBlank="1" errorTitle="مقدار نامعتبر" error="لطفاً از فهرست انتخاب کنید." type="list">
      <formula1>'فهرست‌ها'!$C$4:$C$5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20" customWidth="1" min="5" max="5"/>
    <col width="14" customWidth="1" min="6" max="6"/>
    <col width="22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2" customWidth="1" min="13" max="13"/>
    <col width="20" customWidth="1" min="14" max="14"/>
  </cols>
  <sheetData>
    <row r="1">
      <c r="A1" s="1" t="inlineStr">
        <is>
          <t>ثبت هزینه‌ها (تعهد) — پرداخت به تامین‌کننده جداگانه ثبت می‌شود</t>
        </is>
      </c>
    </row>
    <row r="4" ht="32" customHeight="1">
      <c r="A4" s="5" t="inlineStr">
        <is>
          <t>شناسه</t>
        </is>
      </c>
      <c r="B4" s="5" t="inlineStr">
        <is>
          <t>تاریخ</t>
        </is>
      </c>
      <c r="C4" s="5" t="inlineStr">
        <is>
          <t>شرح</t>
        </is>
      </c>
      <c r="D4" s="5" t="inlineStr">
        <is>
          <t>دسته</t>
        </is>
      </c>
      <c r="E4" s="5" t="inlineStr">
        <is>
          <t>تامین‌کننده</t>
        </is>
      </c>
      <c r="F4" s="5" t="inlineStr">
        <is>
          <t>مبلغ (ریال)</t>
        </is>
      </c>
      <c r="G4" s="5" t="inlineStr">
        <is>
          <t>مبنای تسهیم</t>
        </is>
      </c>
      <c r="H4" s="5" t="inlineStr">
        <is>
          <t>صندوق</t>
        </is>
      </c>
      <c r="I4" s="5" t="inlineStr">
        <is>
          <t>دوره</t>
        </is>
      </c>
      <c r="J4" s="5" t="inlineStr">
        <is>
          <t>پرداخت‌شده</t>
        </is>
      </c>
      <c r="K4" s="5" t="inlineStr">
        <is>
          <t>مانده بدهی</t>
        </is>
      </c>
      <c r="L4" s="5" t="inlineStr">
        <is>
          <t>وضعیت پرداخت</t>
        </is>
      </c>
      <c r="M4" s="5" t="inlineStr">
        <is>
          <t>مرجع سند</t>
        </is>
      </c>
      <c r="N4" s="5" t="inlineStr">
        <is>
          <t>یادداشت</t>
        </is>
      </c>
    </row>
    <row r="5">
      <c r="A5" s="3" t="inlineStr">
        <is>
          <t>E1</t>
        </is>
      </c>
      <c r="B5" s="3" t="inlineStr">
        <is>
          <t>1405/07/05</t>
        </is>
      </c>
      <c r="C5" s="3" t="inlineStr">
        <is>
          <t>نظافت راه‌پله - مهر</t>
        </is>
      </c>
      <c r="D5" s="3" t="inlineStr">
        <is>
          <t>نظافت</t>
        </is>
      </c>
      <c r="E5" s="3" t="inlineStr">
        <is>
          <t>شرکت خدماتی نمونه</t>
        </is>
      </c>
      <c r="F5" s="18" t="n">
        <v>9000000</v>
      </c>
      <c r="G5" s="3" t="inlineStr">
        <is>
          <t>نفر</t>
        </is>
      </c>
      <c r="H5" s="3" t="inlineStr">
        <is>
          <t>عملیاتی</t>
        </is>
      </c>
      <c r="I5" s="3" t="inlineStr">
        <is>
          <t>1405-07</t>
        </is>
      </c>
      <c r="J5" s="19">
        <f>SUMIFS('پرداخت‌ها'!$C$5:$C$34,'پرداخت‌ها'!$B$5:$B$34,A5)</f>
        <v/>
      </c>
      <c r="K5" s="20">
        <f>N(F5)-J5</f>
        <v/>
      </c>
      <c r="L5" s="4">
        <f>IF(N(F5)=0,"",IF(J5=0,"پرداخت‌نشده",IF(J5&lt;F5,"پرداخت جزئی",IF(J5=F5,"پرداخت‌شده","پرداخت مازاد!"))))</f>
        <v/>
      </c>
      <c r="M5" s="3" t="n"/>
      <c r="N5" s="3" t="n"/>
    </row>
    <row r="6">
      <c r="A6" s="3" t="inlineStr">
        <is>
          <t>E2</t>
        </is>
      </c>
      <c r="B6" s="3" t="inlineStr">
        <is>
          <t>1405/07/05</t>
        </is>
      </c>
      <c r="C6" s="3" t="inlineStr">
        <is>
          <t>هزینه‌های عمومی ماهانه</t>
        </is>
      </c>
      <c r="D6" s="3" t="inlineStr">
        <is>
          <t>هزینه‌های عمومی</t>
        </is>
      </c>
      <c r="E6" s="3" t="n"/>
      <c r="F6" s="18" t="n">
        <v>4500000</v>
      </c>
      <c r="G6" s="3" t="inlineStr">
        <is>
          <t>مساوی</t>
        </is>
      </c>
      <c r="H6" s="3" t="inlineStr">
        <is>
          <t>عملیاتی</t>
        </is>
      </c>
      <c r="I6" s="3" t="inlineStr">
        <is>
          <t>1405-07</t>
        </is>
      </c>
      <c r="J6" s="19">
        <f>SUMIFS('پرداخت‌ها'!$C$5:$C$34,'پرداخت‌ها'!$B$5:$B$34,A6)</f>
        <v/>
      </c>
      <c r="K6" s="20">
        <f>N(F6)-J6</f>
        <v/>
      </c>
      <c r="L6" s="4">
        <f>IF(N(F6)=0,"",IF(J6=0,"پرداخت‌نشده",IF(J6&lt;F6,"پرداخت جزئی",IF(J6=F6,"پرداخت‌شده","پرداخت مازاد!"))))</f>
        <v/>
      </c>
      <c r="M6" s="3" t="n"/>
      <c r="N6" s="3" t="n"/>
    </row>
    <row r="7">
      <c r="A7" s="3" t="inlineStr">
        <is>
          <t>E3</t>
        </is>
      </c>
      <c r="B7" s="3" t="inlineStr">
        <is>
          <t>1405/07/12</t>
        </is>
      </c>
      <c r="C7" s="3" t="inlineStr">
        <is>
          <t>سرویس موتورخانه و نگهداری</t>
        </is>
      </c>
      <c r="D7" s="3" t="inlineStr">
        <is>
          <t>تعمیر و نگهداری ساختمان</t>
        </is>
      </c>
      <c r="E7" s="3" t="inlineStr">
        <is>
          <t>تاسیسات نمونه</t>
        </is>
      </c>
      <c r="F7" s="18" t="n">
        <v>12000000</v>
      </c>
      <c r="G7" s="3" t="inlineStr">
        <is>
          <t>متراژ</t>
        </is>
      </c>
      <c r="H7" s="3" t="inlineStr">
        <is>
          <t>عملیاتی</t>
        </is>
      </c>
      <c r="I7" s="3" t="inlineStr">
        <is>
          <t>1405-07</t>
        </is>
      </c>
      <c r="J7" s="19">
        <f>SUMIFS('پرداخت‌ها'!$C$5:$C$34,'پرداخت‌ها'!$B$5:$B$34,A7)</f>
        <v/>
      </c>
      <c r="K7" s="20">
        <f>N(F7)-J7</f>
        <v/>
      </c>
      <c r="L7" s="4">
        <f>IF(N(F7)=0,"",IF(J7=0,"پرداخت‌نشده",IF(J7&lt;F7,"پرداخت جزئی",IF(J7=F7,"پرداخت‌شده","پرداخت مازاد!"))))</f>
        <v/>
      </c>
      <c r="M7" s="3" t="n"/>
      <c r="N7" s="3" t="n"/>
    </row>
    <row r="8">
      <c r="A8" s="3" t="inlineStr">
        <is>
          <t>E4</t>
        </is>
      </c>
      <c r="B8" s="3" t="inlineStr">
        <is>
          <t>1405/07/28</t>
        </is>
      </c>
      <c r="C8" s="3" t="inlineStr">
        <is>
          <t>قبض آب دوره</t>
        </is>
      </c>
      <c r="D8" s="3" t="inlineStr">
        <is>
          <t>آب</t>
        </is>
      </c>
      <c r="E8" s="3" t="inlineStr">
        <is>
          <t>شرکت آب (نمونه)</t>
        </is>
      </c>
      <c r="F8" s="18" t="n">
        <v>18000000</v>
      </c>
      <c r="G8" s="3" t="inlineStr">
        <is>
          <t>مصرف + سهم مشترک</t>
        </is>
      </c>
      <c r="H8" s="3" t="inlineStr">
        <is>
          <t>عملیاتی</t>
        </is>
      </c>
      <c r="I8" s="3" t="inlineStr">
        <is>
          <t>1405-07</t>
        </is>
      </c>
      <c r="J8" s="19">
        <f>SUMIFS('پرداخت‌ها'!$C$5:$C$34,'پرداخت‌ها'!$B$5:$B$34,A8)</f>
        <v/>
      </c>
      <c r="K8" s="20">
        <f>N(F8)-J8</f>
        <v/>
      </c>
      <c r="L8" s="4">
        <f>IF(N(F8)=0,"",IF(J8=0,"پرداخت‌نشده",IF(J8&lt;F8,"پرداخت جزئی",IF(J8=F8,"پرداخت‌شده","پرداخت مازاد!"))))</f>
        <v/>
      </c>
      <c r="M8" s="3" t="n"/>
      <c r="N8" s="3" t="n"/>
    </row>
    <row r="9">
      <c r="A9" s="3" t="inlineStr">
        <is>
          <t>E5</t>
        </is>
      </c>
      <c r="B9" s="3" t="inlineStr">
        <is>
          <t>1405/07/28</t>
        </is>
      </c>
      <c r="C9" s="3" t="inlineStr">
        <is>
          <t>قبض برق پارکینگ</t>
        </is>
      </c>
      <c r="D9" s="3" t="inlineStr">
        <is>
          <t>برق پارکینگ</t>
        </is>
      </c>
      <c r="E9" s="3" t="inlineStr">
        <is>
          <t>شرکت برق (نمونه)</t>
        </is>
      </c>
      <c r="F9" s="18" t="n">
        <v>1600000</v>
      </c>
      <c r="G9" s="3" t="inlineStr">
        <is>
          <t>پارکینگ (در استفاده)</t>
        </is>
      </c>
      <c r="H9" s="3" t="inlineStr">
        <is>
          <t>عملیاتی</t>
        </is>
      </c>
      <c r="I9" s="3" t="inlineStr">
        <is>
          <t>1405-07</t>
        </is>
      </c>
      <c r="J9" s="19">
        <f>SUMIFS('پرداخت‌ها'!$C$5:$C$34,'پرداخت‌ها'!$B$5:$B$34,A9)</f>
        <v/>
      </c>
      <c r="K9" s="20">
        <f>N(F9)-J9</f>
        <v/>
      </c>
      <c r="L9" s="4">
        <f>IF(N(F9)=0,"",IF(J9=0,"پرداخت‌نشده",IF(J9&lt;F9,"پرداخت جزئی",IF(J9=F9,"پرداخت‌شده","پرداخت مازاد!"))))</f>
        <v/>
      </c>
      <c r="M9" s="3" t="n"/>
      <c r="N9" s="3" t="n"/>
    </row>
    <row r="10">
      <c r="A10" s="3" t="inlineStr">
        <is>
          <t>E6</t>
        </is>
      </c>
      <c r="B10" s="3" t="inlineStr">
        <is>
          <t>1405/07/15</t>
        </is>
      </c>
      <c r="C10" s="3" t="inlineStr">
        <is>
          <t>سرویس ماهانه آسانسور</t>
        </is>
      </c>
      <c r="D10" s="3" t="inlineStr">
        <is>
          <t>سرویس آسانسور</t>
        </is>
      </c>
      <c r="E10" s="3" t="inlineStr">
        <is>
          <t>آسانسور نمونه</t>
        </is>
      </c>
      <c r="F10" s="18" t="n">
        <v>6000000</v>
      </c>
      <c r="G10" s="3" t="inlineStr">
        <is>
          <t>وزنی</t>
        </is>
      </c>
      <c r="H10" s="3" t="inlineStr">
        <is>
          <t>عملیاتی</t>
        </is>
      </c>
      <c r="I10" s="3" t="inlineStr">
        <is>
          <t>1405-07</t>
        </is>
      </c>
      <c r="J10" s="19">
        <f>SUMIFS('پرداخت‌ها'!$C$5:$C$34,'پرداخت‌ها'!$B$5:$B$34,A10)</f>
        <v/>
      </c>
      <c r="K10" s="20">
        <f>N(F10)-J10</f>
        <v/>
      </c>
      <c r="L10" s="4">
        <f>IF(N(F10)=0,"",IF(J10=0,"پرداخت‌نشده",IF(J10&lt;F10,"پرداخت جزئی",IF(J10=F10,"پرداخت‌شده","پرداخت مازاد!"))))</f>
        <v/>
      </c>
      <c r="M10" s="3" t="n"/>
      <c r="N10" s="3" t="n"/>
    </row>
    <row r="11">
      <c r="A11" s="3" t="inlineStr">
        <is>
          <t>E7</t>
        </is>
      </c>
      <c r="B11" s="3" t="inlineStr">
        <is>
          <t>1405/07/20</t>
        </is>
      </c>
      <c r="C11" s="3" t="inlineStr">
        <is>
          <t>تعمیر درب ورودی واحدها</t>
        </is>
      </c>
      <c r="D11" s="3" t="inlineStr">
        <is>
          <t>تعمیرات اختصاصی</t>
        </is>
      </c>
      <c r="E11" s="3" t="inlineStr">
        <is>
          <t>تعمیرکار نمونه</t>
        </is>
      </c>
      <c r="F11" s="18" t="n">
        <v>2500000</v>
      </c>
      <c r="G11" s="3" t="inlineStr">
        <is>
          <t>مبلغ صریح</t>
        </is>
      </c>
      <c r="H11" s="3" t="inlineStr">
        <is>
          <t>عملیاتی</t>
        </is>
      </c>
      <c r="I11" s="3" t="inlineStr">
        <is>
          <t>1405-07</t>
        </is>
      </c>
      <c r="J11" s="19">
        <f>SUMIFS('پرداخت‌ها'!$C$5:$C$34,'پرداخت‌ها'!$B$5:$B$34,A11)</f>
        <v/>
      </c>
      <c r="K11" s="20">
        <f>N(F11)-J11</f>
        <v/>
      </c>
      <c r="L11" s="4">
        <f>IF(N(F11)=0,"",IF(J11=0,"پرداخت‌نشده",IF(J11&lt;F11,"پرداخت جزئی",IF(J11=F11,"پرداخت‌شده","پرداخت مازاد!"))))</f>
        <v/>
      </c>
      <c r="M11" s="3" t="n"/>
      <c r="N11" s="3" t="n"/>
    </row>
    <row r="12">
      <c r="A12" s="3" t="inlineStr">
        <is>
          <t>E8</t>
        </is>
      </c>
      <c r="B12" s="3" t="inlineStr">
        <is>
          <t>1405/07/22</t>
        </is>
      </c>
      <c r="C12" s="3" t="inlineStr">
        <is>
          <t>تعمیر اضطراری لوله اصلی</t>
        </is>
      </c>
      <c r="D12" s="3" t="inlineStr">
        <is>
          <t>تعمیرات اضطراری</t>
        </is>
      </c>
      <c r="E12" s="3" t="inlineStr">
        <is>
          <t>لوله‌کش نمونه</t>
        </is>
      </c>
      <c r="F12" s="18" t="n">
        <v>3000000</v>
      </c>
      <c r="G12" s="3" t="inlineStr">
        <is>
          <t>بدون تسهیم (صندوق)</t>
        </is>
      </c>
      <c r="H12" s="3" t="inlineStr">
        <is>
          <t>اندوخته</t>
        </is>
      </c>
      <c r="I12" s="3" t="inlineStr">
        <is>
          <t>1405-07</t>
        </is>
      </c>
      <c r="J12" s="19">
        <f>SUMIFS('پرداخت‌ها'!$C$5:$C$34,'پرداخت‌ها'!$B$5:$B$34,A12)</f>
        <v/>
      </c>
      <c r="K12" s="20">
        <f>N(F12)-J12</f>
        <v/>
      </c>
      <c r="L12" s="4">
        <f>IF(N(F12)=0,"",IF(J12=0,"پرداخت‌نشده",IF(J12&lt;F12,"پرداخت جزئی",IF(J12=F12,"پرداخت‌شده","پرداخت مازاد!"))))</f>
        <v/>
      </c>
      <c r="M12" s="3" t="n"/>
      <c r="N12" s="3" t="n"/>
    </row>
    <row r="13">
      <c r="A13" s="3" t="inlineStr">
        <is>
          <t>E9</t>
        </is>
      </c>
      <c r="B13" s="3" t="n"/>
      <c r="C13" s="3" t="n"/>
      <c r="D13" s="3" t="n"/>
      <c r="E13" s="3" t="n"/>
      <c r="F13" s="18" t="n"/>
      <c r="G13" s="3" t="n"/>
      <c r="H13" s="3" t="n"/>
      <c r="I13" s="3" t="n"/>
      <c r="J13" s="19">
        <f>SUMIFS('پرداخت‌ها'!$C$5:$C$34,'پرداخت‌ها'!$B$5:$B$34,A13)</f>
        <v/>
      </c>
      <c r="K13" s="20">
        <f>N(F13)-J13</f>
        <v/>
      </c>
      <c r="L13" s="4">
        <f>IF(N(F13)=0,"",IF(J13=0,"پرداخت‌نشده",IF(J13&lt;F13,"پرداخت جزئی",IF(J13=F13,"پرداخت‌شده","پرداخت مازاد!"))))</f>
        <v/>
      </c>
      <c r="M13" s="3" t="n"/>
      <c r="N13" s="3" t="n"/>
    </row>
    <row r="14">
      <c r="A14" s="3" t="inlineStr">
        <is>
          <t>E10</t>
        </is>
      </c>
      <c r="B14" s="3" t="n"/>
      <c r="C14" s="3" t="n"/>
      <c r="D14" s="3" t="n"/>
      <c r="E14" s="3" t="n"/>
      <c r="F14" s="18" t="n"/>
      <c r="G14" s="3" t="n"/>
      <c r="H14" s="3" t="n"/>
      <c r="I14" s="3" t="n"/>
      <c r="J14" s="19">
        <f>SUMIFS('پرداخت‌ها'!$C$5:$C$34,'پرداخت‌ها'!$B$5:$B$34,A14)</f>
        <v/>
      </c>
      <c r="K14" s="20">
        <f>N(F14)-J14</f>
        <v/>
      </c>
      <c r="L14" s="4">
        <f>IF(N(F14)=0,"",IF(J14=0,"پرداخت‌نشده",IF(J14&lt;F14,"پرداخت جزئی",IF(J14=F14,"پرداخت‌شده","پرداخت مازاد!"))))</f>
        <v/>
      </c>
      <c r="M14" s="3" t="n"/>
      <c r="N14" s="3" t="n"/>
    </row>
    <row r="15">
      <c r="A15" s="3" t="inlineStr">
        <is>
          <t>E11</t>
        </is>
      </c>
      <c r="B15" s="3" t="n"/>
      <c r="C15" s="3" t="n"/>
      <c r="D15" s="3" t="n"/>
      <c r="E15" s="3" t="n"/>
      <c r="F15" s="18" t="n"/>
      <c r="G15" s="3" t="n"/>
      <c r="H15" s="3" t="n"/>
      <c r="I15" s="3" t="n"/>
      <c r="J15" s="19">
        <f>SUMIFS('پرداخت‌ها'!$C$5:$C$34,'پرداخت‌ها'!$B$5:$B$34,A15)</f>
        <v/>
      </c>
      <c r="K15" s="20">
        <f>N(F15)-J15</f>
        <v/>
      </c>
      <c r="L15" s="4">
        <f>IF(N(F15)=0,"",IF(J15=0,"پرداخت‌نشده",IF(J15&lt;F15,"پرداخت جزئی",IF(J15=F15,"پرداخت‌شده","پرداخت مازاد!"))))</f>
        <v/>
      </c>
      <c r="M15" s="3" t="n"/>
      <c r="N15" s="3" t="n"/>
    </row>
    <row r="16">
      <c r="A16" s="3" t="inlineStr">
        <is>
          <t>E12</t>
        </is>
      </c>
      <c r="B16" s="3" t="n"/>
      <c r="C16" s="3" t="n"/>
      <c r="D16" s="3" t="n"/>
      <c r="E16" s="3" t="n"/>
      <c r="F16" s="18" t="n"/>
      <c r="G16" s="3" t="n"/>
      <c r="H16" s="3" t="n"/>
      <c r="I16" s="3" t="n"/>
      <c r="J16" s="19">
        <f>SUMIFS('پرداخت‌ها'!$C$5:$C$34,'پرداخت‌ها'!$B$5:$B$34,A16)</f>
        <v/>
      </c>
      <c r="K16" s="20">
        <f>N(F16)-J16</f>
        <v/>
      </c>
      <c r="L16" s="4">
        <f>IF(N(F16)=0,"",IF(J16=0,"پرداخت‌نشده",IF(J16&lt;F16,"پرداخت جزئی",IF(J16=F16,"پرداخت‌شده","پرداخت مازاد!"))))</f>
        <v/>
      </c>
      <c r="M16" s="3" t="n"/>
      <c r="N16" s="3" t="n"/>
    </row>
    <row r="17">
      <c r="C17" t="inlineStr">
        <is>
          <t>جمع</t>
        </is>
      </c>
      <c r="F17" s="20">
        <f>SUM(F5:F16)</f>
        <v/>
      </c>
      <c r="J17" s="20">
        <f>SUM(J5:J16)</f>
        <v/>
      </c>
      <c r="K17" s="20">
        <f>SUM(K5:K16)</f>
        <v/>
      </c>
    </row>
  </sheetData>
  <dataValidations count="4">
    <dataValidation sqref="D5:D16" showDropDown="0" showInputMessage="0" showErrorMessage="1" allowBlank="1" errorTitle="مقدار نامعتبر" error="لطفاً از فهرست انتخاب کنید." type="list">
      <formula1>'دسته‌ها'!$A$5:$A$25</formula1>
    </dataValidation>
    <dataValidation sqref="G5:G16" showDropDown="0" showInputMessage="0" showErrorMessage="1" allowBlank="1" errorTitle="مقدار نامعتبر" error="لطفاً از فهرست انتخاب کنید." type="list">
      <formula1>'فهرست‌ها'!$A$4:$A$13</formula1>
    </dataValidation>
    <dataValidation sqref="H5:H16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F5:F16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0" customWidth="1" min="4" max="4"/>
    <col width="16" customWidth="1" min="5" max="5"/>
    <col width="22" customWidth="1" min="6" max="6"/>
    <col width="8" customWidth="1" min="7" max="7"/>
  </cols>
  <sheetData>
    <row r="1">
      <c r="A1" s="1" t="inlineStr">
        <is>
          <t>اقلام شارژ دوره‌ای (مثل حق اندوخته)</t>
        </is>
      </c>
    </row>
    <row r="2">
      <c r="A2" s="8" t="inlineStr">
        <is>
          <t>این اقلام هزینه نیستند؛ مستقیماً به واحدها شارژ می‌شوند.</t>
        </is>
      </c>
    </row>
    <row r="4" ht="32" customHeight="1">
      <c r="A4" s="5" t="inlineStr">
        <is>
          <t>شناسه</t>
        </is>
      </c>
      <c r="B4" s="5" t="inlineStr">
        <is>
          <t>عنوان</t>
        </is>
      </c>
      <c r="C4" s="5" t="inlineStr">
        <is>
          <t>دسته</t>
        </is>
      </c>
      <c r="D4" s="5" t="inlineStr">
        <is>
          <t>صندوق</t>
        </is>
      </c>
      <c r="E4" s="5" t="inlineStr">
        <is>
          <t>مبلغ کل (ریال)</t>
        </is>
      </c>
      <c r="F4" s="5" t="inlineStr">
        <is>
          <t>مبنای تسهیم</t>
        </is>
      </c>
      <c r="G4" s="5" t="inlineStr">
        <is>
          <t>فعال</t>
        </is>
      </c>
    </row>
    <row r="5">
      <c r="A5" s="3" t="inlineStr">
        <is>
          <t>C1</t>
        </is>
      </c>
      <c r="B5" s="3" t="inlineStr">
        <is>
          <t>حق اندوخته ماهانه</t>
        </is>
      </c>
      <c r="C5" s="3" t="inlineStr">
        <is>
          <t>اندوخته</t>
        </is>
      </c>
      <c r="D5" s="3" t="inlineStr">
        <is>
          <t>اندوخته</t>
        </is>
      </c>
      <c r="E5" s="18" t="n">
        <v>9000000</v>
      </c>
      <c r="F5" s="3" t="inlineStr">
        <is>
          <t>مساوی</t>
        </is>
      </c>
      <c r="G5" s="3" t="inlineStr">
        <is>
          <t>بله</t>
        </is>
      </c>
    </row>
    <row r="6">
      <c r="A6" s="3" t="inlineStr">
        <is>
          <t>C2</t>
        </is>
      </c>
      <c r="B6" s="3" t="n"/>
      <c r="C6" s="3" t="n"/>
      <c r="D6" s="3" t="n"/>
      <c r="E6" s="18" t="n"/>
      <c r="F6" s="3" t="n"/>
      <c r="G6" s="3" t="n"/>
    </row>
    <row r="7">
      <c r="A7" s="3" t="inlineStr">
        <is>
          <t>C3</t>
        </is>
      </c>
      <c r="B7" s="3" t="n"/>
      <c r="C7" s="3" t="n"/>
      <c r="D7" s="3" t="n"/>
      <c r="E7" s="18" t="n"/>
      <c r="F7" s="3" t="n"/>
      <c r="G7" s="3" t="n"/>
    </row>
    <row r="8">
      <c r="A8" s="3" t="inlineStr">
        <is>
          <t>C4</t>
        </is>
      </c>
      <c r="B8" s="3" t="n"/>
      <c r="C8" s="3" t="n"/>
      <c r="D8" s="3" t="n"/>
      <c r="E8" s="18" t="n"/>
      <c r="F8" s="3" t="n"/>
      <c r="G8" s="3" t="n"/>
    </row>
    <row r="9">
      <c r="A9" s="3" t="inlineStr">
        <is>
          <t>C5</t>
        </is>
      </c>
      <c r="B9" s="3" t="n"/>
      <c r="C9" s="3" t="n"/>
      <c r="D9" s="3" t="n"/>
      <c r="E9" s="18" t="n"/>
      <c r="F9" s="3" t="n"/>
      <c r="G9" s="3" t="n"/>
    </row>
  </sheetData>
  <dataValidations count="4">
    <dataValidation sqref="C5:C9" showDropDown="0" showInputMessage="0" showErrorMessage="1" allowBlank="1" errorTitle="مقدار نامعتبر" error="لطفاً از فهرست انتخاب کنید." type="list">
      <formula1>'دسته‌ها'!$A$5:$A$25</formula1>
    </dataValidation>
    <dataValidation sqref="D5:D9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F5:F9" showDropDown="0" showInputMessage="0" showErrorMessage="1" allowBlank="1" errorTitle="مقدار نامعتبر" error="لطفاً از فهرست انتخاب کنید." type="list">
      <formula1>'فهرست‌ها'!$A$4:$A$13</formula1>
    </dataValidation>
    <dataValidation sqref="G5:G9" showDropDown="0" showInputMessage="0" showErrorMessage="1" allowBlank="1" errorTitle="مقدار نامعتبر" error="لطفاً از فهرست انتخاب کنید." type="list">
      <formula1>'فهرست‌ها'!$C$4:$C$5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شمول واحدها در هر هزینه/قلم (۱ = مشمول، ۰ = مستثنا)</t>
        </is>
      </c>
    </row>
    <row r="2">
      <c r="A2" s="8" t="inlineStr">
        <is>
          <t>برای تسهیم میان زیرمجموعه‌ای از واحدها، واحدهای غیرمشمول را ۰ کنید.</t>
        </is>
      </c>
    </row>
    <row r="4" ht="32" customHeight="1">
      <c r="A4" s="5" t="inlineStr">
        <is>
          <t>منبع</t>
        </is>
      </c>
      <c r="B4" s="5" t="inlineStr">
        <is>
          <t>1-1</t>
        </is>
      </c>
      <c r="C4" s="5" t="inlineStr">
        <is>
          <t>1-2</t>
        </is>
      </c>
      <c r="D4" s="5" t="inlineStr">
        <is>
          <t>1-3</t>
        </is>
      </c>
      <c r="E4" s="5" t="inlineStr">
        <is>
          <t>2-1</t>
        </is>
      </c>
      <c r="F4" s="5" t="inlineStr">
        <is>
          <t>2-2</t>
        </is>
      </c>
      <c r="G4" s="5" t="inlineStr">
        <is>
          <t>3-1</t>
        </is>
      </c>
      <c r="H4" s="5" t="inlineStr">
        <is>
          <t>3-2</t>
        </is>
      </c>
      <c r="I4" s="5" t="inlineStr">
        <is>
          <t>4-1</t>
        </is>
      </c>
      <c r="J4" s="5" t="inlineStr">
        <is>
          <t>4-2</t>
        </is>
      </c>
      <c r="K4" s="21" t="inlineStr">
        <is>
          <t>جمع ردیف</t>
        </is>
      </c>
    </row>
    <row r="5">
      <c r="A5" s="13" t="inlineStr">
        <is>
          <t>E1</t>
        </is>
      </c>
      <c r="B5" s="7" t="n">
        <v>1</v>
      </c>
      <c r="C5" s="7" t="n">
        <v>1</v>
      </c>
      <c r="D5" s="7" t="n">
        <v>1</v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</v>
      </c>
      <c r="J5" s="7" t="n">
        <v>1</v>
      </c>
      <c r="K5" s="10">
        <f>SUM(B5:J5)</f>
        <v/>
      </c>
    </row>
    <row r="6">
      <c r="A6" s="13" t="inlineStr">
        <is>
          <t>E2</t>
        </is>
      </c>
      <c r="B6" s="7" t="n">
        <v>1</v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10">
        <f>SUM(B6:J6)</f>
        <v/>
      </c>
    </row>
    <row r="7">
      <c r="A7" s="13" t="inlineStr">
        <is>
          <t>E3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  <c r="I7" s="7" t="n">
        <v>1</v>
      </c>
      <c r="J7" s="7" t="n">
        <v>1</v>
      </c>
      <c r="K7" s="10">
        <f>SUM(B7:J7)</f>
        <v/>
      </c>
    </row>
    <row r="8">
      <c r="A8" s="13" t="inlineStr">
        <is>
          <t>E4</t>
        </is>
      </c>
      <c r="B8" s="7" t="n">
        <v>1</v>
      </c>
      <c r="C8" s="7" t="n">
        <v>1</v>
      </c>
      <c r="D8" s="7" t="n">
        <v>1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10">
        <f>SUM(B8:J8)</f>
        <v/>
      </c>
    </row>
    <row r="9">
      <c r="A9" s="13" t="inlineStr">
        <is>
          <t>E5</t>
        </is>
      </c>
      <c r="B9" s="7" t="n">
        <v>1</v>
      </c>
      <c r="C9" s="7" t="n">
        <v>1</v>
      </c>
      <c r="D9" s="7" t="n">
        <v>1</v>
      </c>
      <c r="E9" s="7" t="n">
        <v>1</v>
      </c>
      <c r="F9" s="7" t="n">
        <v>1</v>
      </c>
      <c r="G9" s="7" t="n">
        <v>1</v>
      </c>
      <c r="H9" s="7" t="n">
        <v>1</v>
      </c>
      <c r="I9" s="7" t="n">
        <v>1</v>
      </c>
      <c r="J9" s="7" t="n">
        <v>1</v>
      </c>
      <c r="K9" s="10">
        <f>SUM(B9:J9)</f>
        <v/>
      </c>
    </row>
    <row r="10">
      <c r="A10" s="13" t="inlineStr">
        <is>
          <t>E6</t>
        </is>
      </c>
      <c r="B10" s="7" t="n">
        <v>1</v>
      </c>
      <c r="C10" s="7" t="n">
        <v>1</v>
      </c>
      <c r="D10" s="7" t="n">
        <v>1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10">
        <f>SUM(B10:J10)</f>
        <v/>
      </c>
    </row>
    <row r="11">
      <c r="A11" s="13" t="inlineStr">
        <is>
          <t>E7</t>
        </is>
      </c>
      <c r="B11" s="7" t="n">
        <v>1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10">
        <f>SUM(B11:J11)</f>
        <v/>
      </c>
    </row>
    <row r="12">
      <c r="A12" s="13" t="inlineStr">
        <is>
          <t>E8</t>
        </is>
      </c>
      <c r="B12" s="7" t="n">
        <v>1</v>
      </c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10">
        <f>SUM(B12:J12)</f>
        <v/>
      </c>
    </row>
    <row r="13">
      <c r="A13" s="13" t="inlineStr">
        <is>
          <t>E9</t>
        </is>
      </c>
      <c r="B13" s="7" t="n">
        <v>1</v>
      </c>
      <c r="C13" s="7" t="n">
        <v>1</v>
      </c>
      <c r="D13" s="7" t="n">
        <v>1</v>
      </c>
      <c r="E13" s="7" t="n">
        <v>1</v>
      </c>
      <c r="F13" s="7" t="n">
        <v>1</v>
      </c>
      <c r="G13" s="7" t="n">
        <v>1</v>
      </c>
      <c r="H13" s="7" t="n">
        <v>1</v>
      </c>
      <c r="I13" s="7" t="n">
        <v>1</v>
      </c>
      <c r="J13" s="7" t="n">
        <v>1</v>
      </c>
      <c r="K13" s="10">
        <f>SUM(B13:J13)</f>
        <v/>
      </c>
    </row>
    <row r="14">
      <c r="A14" s="13" t="inlineStr">
        <is>
          <t>E10</t>
        </is>
      </c>
      <c r="B14" s="7" t="n">
        <v>1</v>
      </c>
      <c r="C14" s="7" t="n">
        <v>1</v>
      </c>
      <c r="D14" s="7" t="n">
        <v>1</v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10">
        <f>SUM(B14:J14)</f>
        <v/>
      </c>
    </row>
    <row r="15">
      <c r="A15" s="13" t="inlineStr">
        <is>
          <t>E11</t>
        </is>
      </c>
      <c r="B15" s="7" t="n">
        <v>1</v>
      </c>
      <c r="C15" s="7" t="n">
        <v>1</v>
      </c>
      <c r="D15" s="7" t="n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7" t="n">
        <v>1</v>
      </c>
      <c r="J15" s="7" t="n">
        <v>1</v>
      </c>
      <c r="K15" s="10">
        <f>SUM(B15:J15)</f>
        <v/>
      </c>
    </row>
    <row r="16">
      <c r="A16" s="13" t="inlineStr">
        <is>
          <t>E12</t>
        </is>
      </c>
      <c r="B16" s="7" t="n">
        <v>1</v>
      </c>
      <c r="C16" s="7" t="n">
        <v>1</v>
      </c>
      <c r="D16" s="7" t="n">
        <v>1</v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10">
        <f>SUM(B16:J16)</f>
        <v/>
      </c>
    </row>
    <row r="17">
      <c r="A17" s="13" t="inlineStr">
        <is>
          <t>C1</t>
        </is>
      </c>
      <c r="B17" s="7" t="n">
        <v>1</v>
      </c>
      <c r="C17" s="7" t="n">
        <v>1</v>
      </c>
      <c r="D17" s="7" t="n">
        <v>1</v>
      </c>
      <c r="E17" s="7" t="n">
        <v>1</v>
      </c>
      <c r="F17" s="7" t="n">
        <v>1</v>
      </c>
      <c r="G17" s="7" t="n">
        <v>1</v>
      </c>
      <c r="H17" s="7" t="n">
        <v>1</v>
      </c>
      <c r="I17" s="7" t="n">
        <v>1</v>
      </c>
      <c r="J17" s="7" t="n">
        <v>1</v>
      </c>
      <c r="K17" s="10">
        <f>SUM(B17:J17)</f>
        <v/>
      </c>
    </row>
    <row r="18">
      <c r="A18" s="13" t="inlineStr">
        <is>
          <t>C2</t>
        </is>
      </c>
      <c r="B18" s="7" t="n">
        <v>1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10">
        <f>SUM(B18:J18)</f>
        <v/>
      </c>
    </row>
    <row r="19">
      <c r="A19" s="13" t="inlineStr">
        <is>
          <t>C3</t>
        </is>
      </c>
      <c r="B19" s="7" t="n">
        <v>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10">
        <f>SUM(B19:J19)</f>
        <v/>
      </c>
    </row>
    <row r="20">
      <c r="A20" s="13" t="inlineStr">
        <is>
          <t>C4</t>
        </is>
      </c>
      <c r="B20" s="7" t="n">
        <v>1</v>
      </c>
      <c r="C20" s="7" t="n">
        <v>1</v>
      </c>
      <c r="D20" s="7" t="n">
        <v>1</v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10">
        <f>SUM(B20:J20)</f>
        <v/>
      </c>
    </row>
    <row r="21">
      <c r="A21" s="13" t="inlineStr">
        <is>
          <t>C5</t>
        </is>
      </c>
      <c r="B21" s="7" t="n">
        <v>1</v>
      </c>
      <c r="C21" s="7" t="n">
        <v>1</v>
      </c>
      <c r="D21" s="7" t="n">
        <v>1</v>
      </c>
      <c r="E21" s="7" t="n">
        <v>1</v>
      </c>
      <c r="F21" s="7" t="n">
        <v>1</v>
      </c>
      <c r="G21" s="7" t="n">
        <v>1</v>
      </c>
      <c r="H21" s="7" t="n">
        <v>1</v>
      </c>
      <c r="I21" s="7" t="n">
        <v>1</v>
      </c>
      <c r="J21" s="7" t="n">
        <v>1</v>
      </c>
      <c r="K21" s="10">
        <f>SUM(B21:J21)</f>
        <v/>
      </c>
    </row>
  </sheetData>
  <dataValidations count="1">
    <dataValidation sqref="B5:J21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وزن یا مبلغ صریح هر واحد (فقط برای مبنای «وزنی» و «مبلغ صریح»)</t>
        </is>
      </c>
    </row>
    <row r="2">
      <c r="A2" s="8" t="inlineStr">
        <is>
          <t>وزن‌های آسانسور نمونه‌اند (طبقه اول ۰). در «مبلغ صریح» جمع ردیف باید برابر مبلغ هزینه باشد.</t>
        </is>
      </c>
    </row>
    <row r="4" ht="32" customHeight="1">
      <c r="A4" s="5" t="inlineStr">
        <is>
          <t>منبع</t>
        </is>
      </c>
      <c r="B4" s="5" t="inlineStr">
        <is>
          <t>1-1</t>
        </is>
      </c>
      <c r="C4" s="5" t="inlineStr">
        <is>
          <t>1-2</t>
        </is>
      </c>
      <c r="D4" s="5" t="inlineStr">
        <is>
          <t>1-3</t>
        </is>
      </c>
      <c r="E4" s="5" t="inlineStr">
        <is>
          <t>2-1</t>
        </is>
      </c>
      <c r="F4" s="5" t="inlineStr">
        <is>
          <t>2-2</t>
        </is>
      </c>
      <c r="G4" s="5" t="inlineStr">
        <is>
          <t>3-1</t>
        </is>
      </c>
      <c r="H4" s="5" t="inlineStr">
        <is>
          <t>3-2</t>
        </is>
      </c>
      <c r="I4" s="5" t="inlineStr">
        <is>
          <t>4-1</t>
        </is>
      </c>
      <c r="J4" s="5" t="inlineStr">
        <is>
          <t>4-2</t>
        </is>
      </c>
      <c r="K4" s="21" t="inlineStr">
        <is>
          <t>جمع ردیف</t>
        </is>
      </c>
    </row>
    <row r="5">
      <c r="A5" s="13" t="inlineStr">
        <is>
          <t>E1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>
        <f>SUM(B5:J5)</f>
        <v/>
      </c>
    </row>
    <row r="6">
      <c r="A6" s="13" t="inlineStr">
        <is>
          <t>E2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>
        <f>SUM(B6:J6)</f>
        <v/>
      </c>
    </row>
    <row r="7">
      <c r="A7" s="13" t="inlineStr">
        <is>
          <t>E3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>
        <f>SUM(B7:J7)</f>
        <v/>
      </c>
    </row>
    <row r="8">
      <c r="A8" s="13" t="inlineStr">
        <is>
          <t>E4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0">
        <f>SUM(B8:J8)</f>
        <v/>
      </c>
    </row>
    <row r="9">
      <c r="A9" s="13" t="inlineStr">
        <is>
          <t>E5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>
        <f>SUM(B9:J9)</f>
        <v/>
      </c>
    </row>
    <row r="10">
      <c r="A10" s="13" t="inlineStr">
        <is>
          <t>E6</t>
        </is>
      </c>
      <c r="B10" s="7" t="n">
        <v>0</v>
      </c>
      <c r="C10" s="7" t="n">
        <v>0</v>
      </c>
      <c r="D10" s="7" t="n">
        <v>0</v>
      </c>
      <c r="E10" s="7" t="n">
        <v>1</v>
      </c>
      <c r="F10" s="7" t="n">
        <v>1</v>
      </c>
      <c r="G10" s="7" t="n">
        <v>2</v>
      </c>
      <c r="H10" s="7" t="n">
        <v>2</v>
      </c>
      <c r="I10" s="7" t="n">
        <v>3</v>
      </c>
      <c r="J10" s="7" t="n">
        <v>3</v>
      </c>
      <c r="K10" s="10">
        <f>SUM(B10:J10)</f>
        <v/>
      </c>
    </row>
    <row r="11">
      <c r="A11" s="13" t="inlineStr">
        <is>
          <t>E7</t>
        </is>
      </c>
      <c r="B11" s="7" t="n">
        <v>0</v>
      </c>
      <c r="C11" s="7" t="n">
        <v>0</v>
      </c>
      <c r="D11" s="7" t="n">
        <v>0</v>
      </c>
      <c r="E11" s="7" t="n">
        <v>1500000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1000000</v>
      </c>
      <c r="K11" s="10">
        <f>SUM(B11:J11)</f>
        <v/>
      </c>
    </row>
    <row r="12">
      <c r="A12" s="13" t="inlineStr">
        <is>
          <t>E8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>
        <f>SUM(B12:J12)</f>
        <v/>
      </c>
    </row>
    <row r="13">
      <c r="A13" s="13" t="inlineStr">
        <is>
          <t>E9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10">
        <f>SUM(B13:J13)</f>
        <v/>
      </c>
    </row>
    <row r="14">
      <c r="A14" s="13" t="inlineStr">
        <is>
          <t>E10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>
        <f>SUM(B14:J14)</f>
        <v/>
      </c>
    </row>
    <row r="15">
      <c r="A15" s="13" t="inlineStr">
        <is>
          <t>E11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>
        <f>SUM(B15:J15)</f>
        <v/>
      </c>
    </row>
    <row r="16">
      <c r="A16" s="13" t="inlineStr">
        <is>
          <t>E12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10">
        <f>SUM(B16:J16)</f>
        <v/>
      </c>
    </row>
    <row r="17">
      <c r="A17" s="13" t="inlineStr">
        <is>
          <t>C1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10">
        <f>SUM(B17:J17)</f>
        <v/>
      </c>
    </row>
    <row r="18">
      <c r="A18" s="13" t="inlineStr">
        <is>
          <t>C2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10">
        <f>SUM(B18:J18)</f>
        <v/>
      </c>
    </row>
    <row r="19">
      <c r="A19" s="13" t="inlineStr">
        <is>
          <t>C3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10">
        <f>SUM(B19:J19)</f>
        <v/>
      </c>
    </row>
    <row r="20">
      <c r="A20" s="13" t="inlineStr">
        <is>
          <t>C4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10">
        <f>SUM(B20:J20)</f>
        <v/>
      </c>
    </row>
    <row r="21">
      <c r="A21" s="13" t="inlineStr">
        <is>
          <t>C5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10">
        <f>SUM(B21:J21)</f>
        <v/>
      </c>
    </row>
  </sheetData>
  <dataValidations count="1">
    <dataValidation sqref="B5:J21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2" customWidth="1" min="4" max="4"/>
    <col width="16" customWidth="1" min="5" max="5"/>
    <col width="10" customWidth="1" min="6" max="6"/>
    <col width="22" customWidth="1" min="7" max="7"/>
    <col width="10" customWidth="1" min="8" max="8"/>
    <col width="14" customWidth="1" min="9" max="9"/>
  </cols>
  <sheetData>
    <row r="1">
      <c r="A1" s="1" t="inlineStr">
        <is>
          <t>سطرهای تسهیم (مشتق از هزینه‌ها و اقلام شارژ)</t>
        </is>
      </c>
    </row>
    <row r="2">
      <c r="A2" s="8" t="inlineStr">
        <is>
          <t>هر هزینه یک سطر اصلی و یک سطر «سهم مشترک آب» دارد که فقط برای مبنای «مصرف + سهم مشترک» مقدار می‌گیرد.</t>
        </is>
      </c>
    </row>
    <row r="4" ht="32" customHeight="1">
      <c r="A4" s="5" t="inlineStr">
        <is>
          <t>سطر</t>
        </is>
      </c>
      <c r="B4" s="5" t="inlineStr">
        <is>
          <t>منبع</t>
        </is>
      </c>
      <c r="C4" s="5" t="inlineStr">
        <is>
          <t>شرح</t>
        </is>
      </c>
      <c r="D4" s="5" t="inlineStr">
        <is>
          <t>مبنا</t>
        </is>
      </c>
      <c r="E4" s="5" t="inlineStr">
        <is>
          <t>مبلغ قابل تسهیم</t>
        </is>
      </c>
      <c r="F4" s="5" t="inlineStr">
        <is>
          <t>صندوق</t>
        </is>
      </c>
      <c r="G4" s="5" t="inlineStr">
        <is>
          <t>دسته</t>
        </is>
      </c>
      <c r="H4" s="5" t="inlineStr">
        <is>
          <t>ردیف ماتریس</t>
        </is>
      </c>
      <c r="I4" s="5" t="inlineStr">
        <is>
          <t>مجموع وزن</t>
        </is>
      </c>
    </row>
    <row r="5">
      <c r="A5" s="4" t="inlineStr">
        <is>
          <t>L1</t>
        </is>
      </c>
      <c r="B5" s="22">
        <f>'هزینه‌ها'!A5</f>
        <v/>
      </c>
      <c r="C5" s="22">
        <f>IF('هزینه‌ها'!C5="","",'هزینه‌ها'!C5)</f>
        <v/>
      </c>
      <c r="D5" s="4">
        <f>IF('هزینه‌ها'!G5="مصرف + سهم مشترک","مصرف",IF('هزینه‌ها'!G5="","بدون تسهیم (صندوق)",'هزینه‌ها'!G5))</f>
        <v/>
      </c>
      <c r="E5" s="20">
        <f>IF(OR('هزینه‌ها'!G5="بدون تسهیم (صندوق)",'هزینه‌ها'!G5=""),0,IF('هزینه‌ها'!G5="مصرف + سهم مشترک",IF('کنتورها'!$M$5=0,0,ROUND(N('هزینه‌ها'!F5)*'کنتورها'!$M$6*1000/('کنتورها'!$M$5*1000*'تنظیمات'!$B$7),0)*'تنظیمات'!$B$7),N('هزینه‌ها'!F5)))</f>
        <v/>
      </c>
      <c r="F5" s="22">
        <f>'هزینه‌ها'!H5</f>
        <v/>
      </c>
      <c r="G5" s="22">
        <f>'هزینه‌ها'!D5</f>
        <v/>
      </c>
      <c r="H5" s="10" t="n">
        <v>5</v>
      </c>
      <c r="I5" s="12">
        <f>SUMIFS('محاسبه تسهیم'!$I$5:$I$265,'محاسبه تسهیم'!$A$5:$A$265,A5)</f>
        <v/>
      </c>
    </row>
    <row r="6">
      <c r="A6" s="4" t="inlineStr">
        <is>
          <t>L2</t>
        </is>
      </c>
      <c r="B6" s="22">
        <f>'هزینه‌ها'!A5</f>
        <v/>
      </c>
      <c r="C6" s="4">
        <f>IF('هزینه‌ها'!G5="مصرف + سهم مشترک","سهم مشترک آب: "&amp;'هزینه‌ها'!C5,"")</f>
        <v/>
      </c>
      <c r="D6" s="22">
        <f>'تنظیمات'!$B$12</f>
        <v/>
      </c>
      <c r="E6" s="20">
        <f>IF('هزینه‌ها'!G5="مصرف + سهم مشترک",N('هزینه‌ها'!F5)-E5,0)</f>
        <v/>
      </c>
      <c r="F6" s="22">
        <f>'هزینه‌ها'!H5</f>
        <v/>
      </c>
      <c r="G6" s="22">
        <f>'هزینه‌ها'!D5</f>
        <v/>
      </c>
      <c r="H6" s="10" t="n">
        <v>5</v>
      </c>
      <c r="I6" s="12">
        <f>SUMIFS('محاسبه تسهیم'!$I$5:$I$265,'محاسبه تسهیم'!$A$5:$A$265,A6)</f>
        <v/>
      </c>
    </row>
    <row r="7">
      <c r="A7" s="4" t="inlineStr">
        <is>
          <t>L3</t>
        </is>
      </c>
      <c r="B7" s="22">
        <f>'هزینه‌ها'!A6</f>
        <v/>
      </c>
      <c r="C7" s="22">
        <f>IF('هزینه‌ها'!C6="","",'هزینه‌ها'!C6)</f>
        <v/>
      </c>
      <c r="D7" s="4">
        <f>IF('هزینه‌ها'!G6="مصرف + سهم مشترک","مصرف",IF('هزینه‌ها'!G6="","بدون تسهیم (صندوق)",'هزینه‌ها'!G6))</f>
        <v/>
      </c>
      <c r="E7" s="20">
        <f>IF(OR('هزینه‌ها'!G6="بدون تسهیم (صندوق)",'هزینه‌ها'!G6=""),0,IF('هزینه‌ها'!G6="مصرف + سهم مشترک",IF('کنتورها'!$M$5=0,0,ROUND(N('هزینه‌ها'!F6)*'کنتورها'!$M$6*1000/('کنتورها'!$M$5*1000*'تنظیمات'!$B$7),0)*'تنظیمات'!$B$7),N('هزینه‌ها'!F6)))</f>
        <v/>
      </c>
      <c r="F7" s="22">
        <f>'هزینه‌ها'!H6</f>
        <v/>
      </c>
      <c r="G7" s="22">
        <f>'هزینه‌ها'!D6</f>
        <v/>
      </c>
      <c r="H7" s="10" t="n">
        <v>6</v>
      </c>
      <c r="I7" s="12">
        <f>SUMIFS('محاسبه تسهیم'!$I$5:$I$265,'محاسبه تسهیم'!$A$5:$A$265,A7)</f>
        <v/>
      </c>
    </row>
    <row r="8">
      <c r="A8" s="4" t="inlineStr">
        <is>
          <t>L4</t>
        </is>
      </c>
      <c r="B8" s="22">
        <f>'هزینه‌ها'!A6</f>
        <v/>
      </c>
      <c r="C8" s="4">
        <f>IF('هزینه‌ها'!G6="مصرف + سهم مشترک","سهم مشترک آب: "&amp;'هزینه‌ها'!C6,"")</f>
        <v/>
      </c>
      <c r="D8" s="22">
        <f>'تنظیمات'!$B$12</f>
        <v/>
      </c>
      <c r="E8" s="20">
        <f>IF('هزینه‌ها'!G6="مصرف + سهم مشترک",N('هزینه‌ها'!F6)-E7,0)</f>
        <v/>
      </c>
      <c r="F8" s="22">
        <f>'هزینه‌ها'!H6</f>
        <v/>
      </c>
      <c r="G8" s="22">
        <f>'هزینه‌ها'!D6</f>
        <v/>
      </c>
      <c r="H8" s="10" t="n">
        <v>6</v>
      </c>
      <c r="I8" s="12">
        <f>SUMIFS('محاسبه تسهیم'!$I$5:$I$265,'محاسبه تسهیم'!$A$5:$A$265,A8)</f>
        <v/>
      </c>
    </row>
    <row r="9">
      <c r="A9" s="4" t="inlineStr">
        <is>
          <t>L5</t>
        </is>
      </c>
      <c r="B9" s="22">
        <f>'هزینه‌ها'!A7</f>
        <v/>
      </c>
      <c r="C9" s="22">
        <f>IF('هزینه‌ها'!C7="","",'هزینه‌ها'!C7)</f>
        <v/>
      </c>
      <c r="D9" s="4">
        <f>IF('هزینه‌ها'!G7="مصرف + سهم مشترک","مصرف",IF('هزینه‌ها'!G7="","بدون تسهیم (صندوق)",'هزینه‌ها'!G7))</f>
        <v/>
      </c>
      <c r="E9" s="20">
        <f>IF(OR('هزینه‌ها'!G7="بدون تسهیم (صندوق)",'هزینه‌ها'!G7=""),0,IF('هزینه‌ها'!G7="مصرف + سهم مشترک",IF('کنتورها'!$M$5=0,0,ROUND(N('هزینه‌ها'!F7)*'کنتورها'!$M$6*1000/('کنتورها'!$M$5*1000*'تنظیمات'!$B$7),0)*'تنظیمات'!$B$7),N('هزینه‌ها'!F7)))</f>
        <v/>
      </c>
      <c r="F9" s="22">
        <f>'هزینه‌ها'!H7</f>
        <v/>
      </c>
      <c r="G9" s="22">
        <f>'هزینه‌ها'!D7</f>
        <v/>
      </c>
      <c r="H9" s="10" t="n">
        <v>7</v>
      </c>
      <c r="I9" s="12">
        <f>SUMIFS('محاسبه تسهیم'!$I$5:$I$265,'محاسبه تسهیم'!$A$5:$A$265,A9)</f>
        <v/>
      </c>
    </row>
    <row r="10">
      <c r="A10" s="4" t="inlineStr">
        <is>
          <t>L6</t>
        </is>
      </c>
      <c r="B10" s="22">
        <f>'هزینه‌ها'!A7</f>
        <v/>
      </c>
      <c r="C10" s="4">
        <f>IF('هزینه‌ها'!G7="مصرف + سهم مشترک","سهم مشترک آب: "&amp;'هزینه‌ها'!C7,"")</f>
        <v/>
      </c>
      <c r="D10" s="22">
        <f>'تنظیمات'!$B$12</f>
        <v/>
      </c>
      <c r="E10" s="20">
        <f>IF('هزینه‌ها'!G7="مصرف + سهم مشترک",N('هزینه‌ها'!F7)-E9,0)</f>
        <v/>
      </c>
      <c r="F10" s="22">
        <f>'هزینه‌ها'!H7</f>
        <v/>
      </c>
      <c r="G10" s="22">
        <f>'هزینه‌ها'!D7</f>
        <v/>
      </c>
      <c r="H10" s="10" t="n">
        <v>7</v>
      </c>
      <c r="I10" s="12">
        <f>SUMIFS('محاسبه تسهیم'!$I$5:$I$265,'محاسبه تسهیم'!$A$5:$A$265,A10)</f>
        <v/>
      </c>
    </row>
    <row r="11">
      <c r="A11" s="4" t="inlineStr">
        <is>
          <t>L7</t>
        </is>
      </c>
      <c r="B11" s="22">
        <f>'هزینه‌ها'!A8</f>
        <v/>
      </c>
      <c r="C11" s="22">
        <f>IF('هزینه‌ها'!C8="","",'هزینه‌ها'!C8)</f>
        <v/>
      </c>
      <c r="D11" s="4">
        <f>IF('هزینه‌ها'!G8="مصرف + سهم مشترک","مصرف",IF('هزینه‌ها'!G8="","بدون تسهیم (صندوق)",'هزینه‌ها'!G8))</f>
        <v/>
      </c>
      <c r="E11" s="20">
        <f>IF(OR('هزینه‌ها'!G8="بدون تسهیم (صندوق)",'هزینه‌ها'!G8=""),0,IF('هزینه‌ها'!G8="مصرف + سهم مشترک",IF('کنتورها'!$M$5=0,0,ROUND(N('هزینه‌ها'!F8)*'کنتورها'!$M$6*1000/('کنتورها'!$M$5*1000*'تنظیمات'!$B$7),0)*'تنظیمات'!$B$7),N('هزینه‌ها'!F8)))</f>
        <v/>
      </c>
      <c r="F11" s="22">
        <f>'هزینه‌ها'!H8</f>
        <v/>
      </c>
      <c r="G11" s="22">
        <f>'هزینه‌ها'!D8</f>
        <v/>
      </c>
      <c r="H11" s="10" t="n">
        <v>8</v>
      </c>
      <c r="I11" s="12">
        <f>SUMIFS('محاسبه تسهیم'!$I$5:$I$265,'محاسبه تسهیم'!$A$5:$A$265,A11)</f>
        <v/>
      </c>
    </row>
    <row r="12">
      <c r="A12" s="4" t="inlineStr">
        <is>
          <t>L8</t>
        </is>
      </c>
      <c r="B12" s="22">
        <f>'هزینه‌ها'!A8</f>
        <v/>
      </c>
      <c r="C12" s="4">
        <f>IF('هزینه‌ها'!G8="مصرف + سهم مشترک","سهم مشترک آب: "&amp;'هزینه‌ها'!C8,"")</f>
        <v/>
      </c>
      <c r="D12" s="22">
        <f>'تنظیمات'!$B$12</f>
        <v/>
      </c>
      <c r="E12" s="20">
        <f>IF('هزینه‌ها'!G8="مصرف + سهم مشترک",N('هزینه‌ها'!F8)-E11,0)</f>
        <v/>
      </c>
      <c r="F12" s="22">
        <f>'هزینه‌ها'!H8</f>
        <v/>
      </c>
      <c r="G12" s="22">
        <f>'هزینه‌ها'!D8</f>
        <v/>
      </c>
      <c r="H12" s="10" t="n">
        <v>8</v>
      </c>
      <c r="I12" s="12">
        <f>SUMIFS('محاسبه تسهیم'!$I$5:$I$265,'محاسبه تسهیم'!$A$5:$A$265,A12)</f>
        <v/>
      </c>
    </row>
    <row r="13">
      <c r="A13" s="4" t="inlineStr">
        <is>
          <t>L9</t>
        </is>
      </c>
      <c r="B13" s="22">
        <f>'هزینه‌ها'!A9</f>
        <v/>
      </c>
      <c r="C13" s="22">
        <f>IF('هزینه‌ها'!C9="","",'هزینه‌ها'!C9)</f>
        <v/>
      </c>
      <c r="D13" s="4">
        <f>IF('هزینه‌ها'!G9="مصرف + سهم مشترک","مصرف",IF('هزینه‌ها'!G9="","بدون تسهیم (صندوق)",'هزینه‌ها'!G9))</f>
        <v/>
      </c>
      <c r="E13" s="20">
        <f>IF(OR('هزینه‌ها'!G9="بدون تسهیم (صندوق)",'هزینه‌ها'!G9=""),0,IF('هزینه‌ها'!G9="مصرف + سهم مشترک",IF('کنتورها'!$M$5=0,0,ROUND(N('هزینه‌ها'!F9)*'کنتورها'!$M$6*1000/('کنتورها'!$M$5*1000*'تنظیمات'!$B$7),0)*'تنظیمات'!$B$7),N('هزینه‌ها'!F9)))</f>
        <v/>
      </c>
      <c r="F13" s="22">
        <f>'هزینه‌ها'!H9</f>
        <v/>
      </c>
      <c r="G13" s="22">
        <f>'هزینه‌ها'!D9</f>
        <v/>
      </c>
      <c r="H13" s="10" t="n">
        <v>9</v>
      </c>
      <c r="I13" s="12">
        <f>SUMIFS('محاسبه تسهیم'!$I$5:$I$265,'محاسبه تسهیم'!$A$5:$A$265,A13)</f>
        <v/>
      </c>
    </row>
    <row r="14">
      <c r="A14" s="4" t="inlineStr">
        <is>
          <t>L10</t>
        </is>
      </c>
      <c r="B14" s="22">
        <f>'هزینه‌ها'!A9</f>
        <v/>
      </c>
      <c r="C14" s="4">
        <f>IF('هزینه‌ها'!G9="مصرف + سهم مشترک","سهم مشترک آب: "&amp;'هزینه‌ها'!C9,"")</f>
        <v/>
      </c>
      <c r="D14" s="22">
        <f>'تنظیمات'!$B$12</f>
        <v/>
      </c>
      <c r="E14" s="20">
        <f>IF('هزینه‌ها'!G9="مصرف + سهم مشترک",N('هزینه‌ها'!F9)-E13,0)</f>
        <v/>
      </c>
      <c r="F14" s="22">
        <f>'هزینه‌ها'!H9</f>
        <v/>
      </c>
      <c r="G14" s="22">
        <f>'هزینه‌ها'!D9</f>
        <v/>
      </c>
      <c r="H14" s="10" t="n">
        <v>9</v>
      </c>
      <c r="I14" s="12">
        <f>SUMIFS('محاسبه تسهیم'!$I$5:$I$265,'محاسبه تسهیم'!$A$5:$A$265,A14)</f>
        <v/>
      </c>
    </row>
    <row r="15">
      <c r="A15" s="4" t="inlineStr">
        <is>
          <t>L11</t>
        </is>
      </c>
      <c r="B15" s="22">
        <f>'هزینه‌ها'!A10</f>
        <v/>
      </c>
      <c r="C15" s="22">
        <f>IF('هزینه‌ها'!C10="","",'هزینه‌ها'!C10)</f>
        <v/>
      </c>
      <c r="D15" s="4">
        <f>IF('هزینه‌ها'!G10="مصرف + سهم مشترک","مصرف",IF('هزینه‌ها'!G10="","بدون تسهیم (صندوق)",'هزینه‌ها'!G10))</f>
        <v/>
      </c>
      <c r="E15" s="20">
        <f>IF(OR('هزینه‌ها'!G10="بدون تسهیم (صندوق)",'هزینه‌ها'!G10=""),0,IF('هزینه‌ها'!G10="مصرف + سهم مشترک",IF('کنتورها'!$M$5=0,0,ROUND(N('هزینه‌ها'!F10)*'کنتورها'!$M$6*1000/('کنتورها'!$M$5*1000*'تنظیمات'!$B$7),0)*'تنظیمات'!$B$7),N('هزینه‌ها'!F10)))</f>
        <v/>
      </c>
      <c r="F15" s="22">
        <f>'هزینه‌ها'!H10</f>
        <v/>
      </c>
      <c r="G15" s="22">
        <f>'هزینه‌ها'!D10</f>
        <v/>
      </c>
      <c r="H15" s="10" t="n">
        <v>10</v>
      </c>
      <c r="I15" s="12">
        <f>SUMIFS('محاسبه تسهیم'!$I$5:$I$265,'محاسبه تسهیم'!$A$5:$A$265,A15)</f>
        <v/>
      </c>
    </row>
    <row r="16">
      <c r="A16" s="4" t="inlineStr">
        <is>
          <t>L12</t>
        </is>
      </c>
      <c r="B16" s="22">
        <f>'هزینه‌ها'!A10</f>
        <v/>
      </c>
      <c r="C16" s="4">
        <f>IF('هزینه‌ها'!G10="مصرف + سهم مشترک","سهم مشترک آب: "&amp;'هزینه‌ها'!C10,"")</f>
        <v/>
      </c>
      <c r="D16" s="22">
        <f>'تنظیمات'!$B$12</f>
        <v/>
      </c>
      <c r="E16" s="20">
        <f>IF('هزینه‌ها'!G10="مصرف + سهم مشترک",N('هزینه‌ها'!F10)-E15,0)</f>
        <v/>
      </c>
      <c r="F16" s="22">
        <f>'هزینه‌ها'!H10</f>
        <v/>
      </c>
      <c r="G16" s="22">
        <f>'هزینه‌ها'!D10</f>
        <v/>
      </c>
      <c r="H16" s="10" t="n">
        <v>10</v>
      </c>
      <c r="I16" s="12">
        <f>SUMIFS('محاسبه تسهیم'!$I$5:$I$265,'محاسبه تسهیم'!$A$5:$A$265,A16)</f>
        <v/>
      </c>
    </row>
    <row r="17">
      <c r="A17" s="4" t="inlineStr">
        <is>
          <t>L13</t>
        </is>
      </c>
      <c r="B17" s="22">
        <f>'هزینه‌ها'!A11</f>
        <v/>
      </c>
      <c r="C17" s="22">
        <f>IF('هزینه‌ها'!C11="","",'هزینه‌ها'!C11)</f>
        <v/>
      </c>
      <c r="D17" s="4">
        <f>IF('هزینه‌ها'!G11="مصرف + سهم مشترک","مصرف",IF('هزینه‌ها'!G11="","بدون تسهیم (صندوق)",'هزینه‌ها'!G11))</f>
        <v/>
      </c>
      <c r="E17" s="20">
        <f>IF(OR('هزینه‌ها'!G11="بدون تسهیم (صندوق)",'هزینه‌ها'!G11=""),0,IF('هزینه‌ها'!G11="مصرف + سهم مشترک",IF('کنتورها'!$M$5=0,0,ROUND(N('هزینه‌ها'!F11)*'کنتورها'!$M$6*1000/('کنتورها'!$M$5*1000*'تنظیمات'!$B$7),0)*'تنظیمات'!$B$7),N('هزینه‌ها'!F11)))</f>
        <v/>
      </c>
      <c r="F17" s="22">
        <f>'هزینه‌ها'!H11</f>
        <v/>
      </c>
      <c r="G17" s="22">
        <f>'هزینه‌ها'!D11</f>
        <v/>
      </c>
      <c r="H17" s="10" t="n">
        <v>11</v>
      </c>
      <c r="I17" s="12">
        <f>SUMIFS('محاسبه تسهیم'!$I$5:$I$265,'محاسبه تسهیم'!$A$5:$A$265,A17)</f>
        <v/>
      </c>
    </row>
    <row r="18">
      <c r="A18" s="4" t="inlineStr">
        <is>
          <t>L14</t>
        </is>
      </c>
      <c r="B18" s="22">
        <f>'هزینه‌ها'!A11</f>
        <v/>
      </c>
      <c r="C18" s="4">
        <f>IF('هزینه‌ها'!G11="مصرف + سهم مشترک","سهم مشترک آب: "&amp;'هزینه‌ها'!C11,"")</f>
        <v/>
      </c>
      <c r="D18" s="22">
        <f>'تنظیمات'!$B$12</f>
        <v/>
      </c>
      <c r="E18" s="20">
        <f>IF('هزینه‌ها'!G11="مصرف + سهم مشترک",N('هزینه‌ها'!F11)-E17,0)</f>
        <v/>
      </c>
      <c r="F18" s="22">
        <f>'هزینه‌ها'!H11</f>
        <v/>
      </c>
      <c r="G18" s="22">
        <f>'هزینه‌ها'!D11</f>
        <v/>
      </c>
      <c r="H18" s="10" t="n">
        <v>11</v>
      </c>
      <c r="I18" s="12">
        <f>SUMIFS('محاسبه تسهیم'!$I$5:$I$265,'محاسبه تسهیم'!$A$5:$A$265,A18)</f>
        <v/>
      </c>
    </row>
    <row r="19">
      <c r="A19" s="4" t="inlineStr">
        <is>
          <t>L15</t>
        </is>
      </c>
      <c r="B19" s="22">
        <f>'هزینه‌ها'!A12</f>
        <v/>
      </c>
      <c r="C19" s="22">
        <f>IF('هزینه‌ها'!C12="","",'هزینه‌ها'!C12)</f>
        <v/>
      </c>
      <c r="D19" s="4">
        <f>IF('هزینه‌ها'!G12="مصرف + سهم مشترک","مصرف",IF('هزینه‌ها'!G12="","بدون تسهیم (صندوق)",'هزینه‌ها'!G12))</f>
        <v/>
      </c>
      <c r="E19" s="20">
        <f>IF(OR('هزینه‌ها'!G12="بدون تسهیم (صندوق)",'هزینه‌ها'!G12=""),0,IF('هزینه‌ها'!G12="مصرف + سهم مشترک",IF('کنتورها'!$M$5=0,0,ROUND(N('هزینه‌ها'!F12)*'کنتورها'!$M$6*1000/('کنتورها'!$M$5*1000*'تنظیمات'!$B$7),0)*'تنظیمات'!$B$7),N('هزینه‌ها'!F12)))</f>
        <v/>
      </c>
      <c r="F19" s="22">
        <f>'هزینه‌ها'!H12</f>
        <v/>
      </c>
      <c r="G19" s="22">
        <f>'هزینه‌ها'!D12</f>
        <v/>
      </c>
      <c r="H19" s="10" t="n">
        <v>12</v>
      </c>
      <c r="I19" s="12">
        <f>SUMIFS('محاسبه تسهیم'!$I$5:$I$265,'محاسبه تسهیم'!$A$5:$A$265,A19)</f>
        <v/>
      </c>
    </row>
    <row r="20">
      <c r="A20" s="4" t="inlineStr">
        <is>
          <t>L16</t>
        </is>
      </c>
      <c r="B20" s="22">
        <f>'هزینه‌ها'!A12</f>
        <v/>
      </c>
      <c r="C20" s="4">
        <f>IF('هزینه‌ها'!G12="مصرف + سهم مشترک","سهم مشترک آب: "&amp;'هزینه‌ها'!C12,"")</f>
        <v/>
      </c>
      <c r="D20" s="22">
        <f>'تنظیمات'!$B$12</f>
        <v/>
      </c>
      <c r="E20" s="20">
        <f>IF('هزینه‌ها'!G12="مصرف + سهم مشترک",N('هزینه‌ها'!F12)-E19,0)</f>
        <v/>
      </c>
      <c r="F20" s="22">
        <f>'هزینه‌ها'!H12</f>
        <v/>
      </c>
      <c r="G20" s="22">
        <f>'هزینه‌ها'!D12</f>
        <v/>
      </c>
      <c r="H20" s="10" t="n">
        <v>12</v>
      </c>
      <c r="I20" s="12">
        <f>SUMIFS('محاسبه تسهیم'!$I$5:$I$265,'محاسبه تسهیم'!$A$5:$A$265,A20)</f>
        <v/>
      </c>
    </row>
    <row r="21">
      <c r="A21" s="4" t="inlineStr">
        <is>
          <t>L17</t>
        </is>
      </c>
      <c r="B21" s="22">
        <f>'هزینه‌ها'!A13</f>
        <v/>
      </c>
      <c r="C21" s="22">
        <f>IF('هزینه‌ها'!C13="","",'هزینه‌ها'!C13)</f>
        <v/>
      </c>
      <c r="D21" s="4">
        <f>IF('هزینه‌ها'!G13="مصرف + سهم مشترک","مصرف",IF('هزینه‌ها'!G13="","بدون تسهیم (صندوق)",'هزینه‌ها'!G13))</f>
        <v/>
      </c>
      <c r="E21" s="20">
        <f>IF(OR('هزینه‌ها'!G13="بدون تسهیم (صندوق)",'هزینه‌ها'!G13=""),0,IF('هزینه‌ها'!G13="مصرف + سهم مشترک",IF('کنتورها'!$M$5=0,0,ROUND(N('هزینه‌ها'!F13)*'کنتورها'!$M$6*1000/('کنتورها'!$M$5*1000*'تنظیمات'!$B$7),0)*'تنظیمات'!$B$7),N('هزینه‌ها'!F13)))</f>
        <v/>
      </c>
      <c r="F21" s="22">
        <f>'هزینه‌ها'!H13</f>
        <v/>
      </c>
      <c r="G21" s="22">
        <f>'هزینه‌ها'!D13</f>
        <v/>
      </c>
      <c r="H21" s="10" t="n">
        <v>13</v>
      </c>
      <c r="I21" s="12">
        <f>SUMIFS('محاسبه تسهیم'!$I$5:$I$265,'محاسبه تسهیم'!$A$5:$A$265,A21)</f>
        <v/>
      </c>
    </row>
    <row r="22">
      <c r="A22" s="4" t="inlineStr">
        <is>
          <t>L18</t>
        </is>
      </c>
      <c r="B22" s="22">
        <f>'هزینه‌ها'!A13</f>
        <v/>
      </c>
      <c r="C22" s="4">
        <f>IF('هزینه‌ها'!G13="مصرف + سهم مشترک","سهم مشترک آب: "&amp;'هزینه‌ها'!C13,"")</f>
        <v/>
      </c>
      <c r="D22" s="22">
        <f>'تنظیمات'!$B$12</f>
        <v/>
      </c>
      <c r="E22" s="20">
        <f>IF('هزینه‌ها'!G13="مصرف + سهم مشترک",N('هزینه‌ها'!F13)-E21,0)</f>
        <v/>
      </c>
      <c r="F22" s="22">
        <f>'هزینه‌ها'!H13</f>
        <v/>
      </c>
      <c r="G22" s="22">
        <f>'هزینه‌ها'!D13</f>
        <v/>
      </c>
      <c r="H22" s="10" t="n">
        <v>13</v>
      </c>
      <c r="I22" s="12">
        <f>SUMIFS('محاسبه تسهیم'!$I$5:$I$265,'محاسبه تسهیم'!$A$5:$A$265,A22)</f>
        <v/>
      </c>
    </row>
    <row r="23">
      <c r="A23" s="4" t="inlineStr">
        <is>
          <t>L19</t>
        </is>
      </c>
      <c r="B23" s="22">
        <f>'هزینه‌ها'!A14</f>
        <v/>
      </c>
      <c r="C23" s="22">
        <f>IF('هزینه‌ها'!C14="","",'هزینه‌ها'!C14)</f>
        <v/>
      </c>
      <c r="D23" s="4">
        <f>IF('هزینه‌ها'!G14="مصرف + سهم مشترک","مصرف",IF('هزینه‌ها'!G14="","بدون تسهیم (صندوق)",'هزینه‌ها'!G14))</f>
        <v/>
      </c>
      <c r="E23" s="20">
        <f>IF(OR('هزینه‌ها'!G14="بدون تسهیم (صندوق)",'هزینه‌ها'!G14=""),0,IF('هزینه‌ها'!G14="مصرف + سهم مشترک",IF('کنتورها'!$M$5=0,0,ROUND(N('هزینه‌ها'!F14)*'کنتورها'!$M$6*1000/('کنتورها'!$M$5*1000*'تنظیمات'!$B$7),0)*'تنظیمات'!$B$7),N('هزینه‌ها'!F14)))</f>
        <v/>
      </c>
      <c r="F23" s="22">
        <f>'هزینه‌ها'!H14</f>
        <v/>
      </c>
      <c r="G23" s="22">
        <f>'هزینه‌ها'!D14</f>
        <v/>
      </c>
      <c r="H23" s="10" t="n">
        <v>14</v>
      </c>
      <c r="I23" s="12">
        <f>SUMIFS('محاسبه تسهیم'!$I$5:$I$265,'محاسبه تسهیم'!$A$5:$A$265,A23)</f>
        <v/>
      </c>
    </row>
    <row r="24">
      <c r="A24" s="4" t="inlineStr">
        <is>
          <t>L20</t>
        </is>
      </c>
      <c r="B24" s="22">
        <f>'هزینه‌ها'!A14</f>
        <v/>
      </c>
      <c r="C24" s="4">
        <f>IF('هزینه‌ها'!G14="مصرف + سهم مشترک","سهم مشترک آب: "&amp;'هزینه‌ها'!C14,"")</f>
        <v/>
      </c>
      <c r="D24" s="22">
        <f>'تنظیمات'!$B$12</f>
        <v/>
      </c>
      <c r="E24" s="20">
        <f>IF('هزینه‌ها'!G14="مصرف + سهم مشترک",N('هزینه‌ها'!F14)-E23,0)</f>
        <v/>
      </c>
      <c r="F24" s="22">
        <f>'هزینه‌ها'!H14</f>
        <v/>
      </c>
      <c r="G24" s="22">
        <f>'هزینه‌ها'!D14</f>
        <v/>
      </c>
      <c r="H24" s="10" t="n">
        <v>14</v>
      </c>
      <c r="I24" s="12">
        <f>SUMIFS('محاسبه تسهیم'!$I$5:$I$265,'محاسبه تسهیم'!$A$5:$A$265,A24)</f>
        <v/>
      </c>
    </row>
    <row r="25">
      <c r="A25" s="4" t="inlineStr">
        <is>
          <t>L21</t>
        </is>
      </c>
      <c r="B25" s="22">
        <f>'هزینه‌ها'!A15</f>
        <v/>
      </c>
      <c r="C25" s="22">
        <f>IF('هزینه‌ها'!C15="","",'هزینه‌ها'!C15)</f>
        <v/>
      </c>
      <c r="D25" s="4">
        <f>IF('هزینه‌ها'!G15="مصرف + سهم مشترک","مصرف",IF('هزینه‌ها'!G15="","بدون تسهیم (صندوق)",'هزینه‌ها'!G15))</f>
        <v/>
      </c>
      <c r="E25" s="20">
        <f>IF(OR('هزینه‌ها'!G15="بدون تسهیم (صندوق)",'هزینه‌ها'!G15=""),0,IF('هزینه‌ها'!G15="مصرف + سهم مشترک",IF('کنتورها'!$M$5=0,0,ROUND(N('هزینه‌ها'!F15)*'کنتورها'!$M$6*1000/('کنتورها'!$M$5*1000*'تنظیمات'!$B$7),0)*'تنظیمات'!$B$7),N('هزینه‌ها'!F15)))</f>
        <v/>
      </c>
      <c r="F25" s="22">
        <f>'هزینه‌ها'!H15</f>
        <v/>
      </c>
      <c r="G25" s="22">
        <f>'هزینه‌ها'!D15</f>
        <v/>
      </c>
      <c r="H25" s="10" t="n">
        <v>15</v>
      </c>
      <c r="I25" s="12">
        <f>SUMIFS('محاسبه تسهیم'!$I$5:$I$265,'محاسبه تسهیم'!$A$5:$A$265,A25)</f>
        <v/>
      </c>
    </row>
    <row r="26">
      <c r="A26" s="4" t="inlineStr">
        <is>
          <t>L22</t>
        </is>
      </c>
      <c r="B26" s="22">
        <f>'هزینه‌ها'!A15</f>
        <v/>
      </c>
      <c r="C26" s="4">
        <f>IF('هزینه‌ها'!G15="مصرف + سهم مشترک","سهم مشترک آب: "&amp;'هزینه‌ها'!C15,"")</f>
        <v/>
      </c>
      <c r="D26" s="22">
        <f>'تنظیمات'!$B$12</f>
        <v/>
      </c>
      <c r="E26" s="20">
        <f>IF('هزینه‌ها'!G15="مصرف + سهم مشترک",N('هزینه‌ها'!F15)-E25,0)</f>
        <v/>
      </c>
      <c r="F26" s="22">
        <f>'هزینه‌ها'!H15</f>
        <v/>
      </c>
      <c r="G26" s="22">
        <f>'هزینه‌ها'!D15</f>
        <v/>
      </c>
      <c r="H26" s="10" t="n">
        <v>15</v>
      </c>
      <c r="I26" s="12">
        <f>SUMIFS('محاسبه تسهیم'!$I$5:$I$265,'محاسبه تسهیم'!$A$5:$A$265,A26)</f>
        <v/>
      </c>
    </row>
    <row r="27">
      <c r="A27" s="4" t="inlineStr">
        <is>
          <t>L23</t>
        </is>
      </c>
      <c r="B27" s="22">
        <f>'هزینه‌ها'!A16</f>
        <v/>
      </c>
      <c r="C27" s="22">
        <f>IF('هزینه‌ها'!C16="","",'هزینه‌ها'!C16)</f>
        <v/>
      </c>
      <c r="D27" s="4">
        <f>IF('هزینه‌ها'!G16="مصرف + سهم مشترک","مصرف",IF('هزینه‌ها'!G16="","بدون تسهیم (صندوق)",'هزینه‌ها'!G16))</f>
        <v/>
      </c>
      <c r="E27" s="20">
        <f>IF(OR('هزینه‌ها'!G16="بدون تسهیم (صندوق)",'هزینه‌ها'!G16=""),0,IF('هزینه‌ها'!G16="مصرف + سهم مشترک",IF('کنتورها'!$M$5=0,0,ROUND(N('هزینه‌ها'!F16)*'کنتورها'!$M$6*1000/('کنتورها'!$M$5*1000*'تنظیمات'!$B$7),0)*'تنظیمات'!$B$7),N('هزینه‌ها'!F16)))</f>
        <v/>
      </c>
      <c r="F27" s="22">
        <f>'هزینه‌ها'!H16</f>
        <v/>
      </c>
      <c r="G27" s="22">
        <f>'هزینه‌ها'!D16</f>
        <v/>
      </c>
      <c r="H27" s="10" t="n">
        <v>16</v>
      </c>
      <c r="I27" s="12">
        <f>SUMIFS('محاسبه تسهیم'!$I$5:$I$265,'محاسبه تسهیم'!$A$5:$A$265,A27)</f>
        <v/>
      </c>
    </row>
    <row r="28">
      <c r="A28" s="4" t="inlineStr">
        <is>
          <t>L24</t>
        </is>
      </c>
      <c r="B28" s="22">
        <f>'هزینه‌ها'!A16</f>
        <v/>
      </c>
      <c r="C28" s="4">
        <f>IF('هزینه‌ها'!G16="مصرف + سهم مشترک","سهم مشترک آب: "&amp;'هزینه‌ها'!C16,"")</f>
        <v/>
      </c>
      <c r="D28" s="22">
        <f>'تنظیمات'!$B$12</f>
        <v/>
      </c>
      <c r="E28" s="20">
        <f>IF('هزینه‌ها'!G16="مصرف + سهم مشترک",N('هزینه‌ها'!F16)-E27,0)</f>
        <v/>
      </c>
      <c r="F28" s="22">
        <f>'هزینه‌ها'!H16</f>
        <v/>
      </c>
      <c r="G28" s="22">
        <f>'هزینه‌ها'!D16</f>
        <v/>
      </c>
      <c r="H28" s="10" t="n">
        <v>16</v>
      </c>
      <c r="I28" s="12">
        <f>SUMIFS('محاسبه تسهیم'!$I$5:$I$265,'محاسبه تسهیم'!$A$5:$A$265,A28)</f>
        <v/>
      </c>
    </row>
    <row r="29">
      <c r="A29" s="4" t="inlineStr">
        <is>
          <t>L25</t>
        </is>
      </c>
      <c r="B29" s="22">
        <f>'اقلام شارژ'!A5</f>
        <v/>
      </c>
      <c r="C29" s="22">
        <f>IF('اقلام شارژ'!B5="","",'اقلام شارژ'!B5)</f>
        <v/>
      </c>
      <c r="D29" s="22">
        <f>IF('اقلام شارژ'!F5="","بدون تسهیم (صندوق)",'اقلام شارژ'!F5)</f>
        <v/>
      </c>
      <c r="E29" s="20">
        <f>IF('اقلام شارژ'!G5="بله",N('اقلام شارژ'!E5),0)</f>
        <v/>
      </c>
      <c r="F29" s="22">
        <f>'اقلام شارژ'!D5</f>
        <v/>
      </c>
      <c r="G29" s="22">
        <f>'اقلام شارژ'!C5</f>
        <v/>
      </c>
      <c r="H29" s="10" t="n">
        <v>17</v>
      </c>
      <c r="I29" s="12">
        <f>SUMIFS('محاسبه تسهیم'!$I$5:$I$265,'محاسبه تسهیم'!$A$5:$A$265,A29)</f>
        <v/>
      </c>
    </row>
    <row r="30">
      <c r="A30" s="4" t="inlineStr">
        <is>
          <t>L26</t>
        </is>
      </c>
      <c r="B30" s="22">
        <f>'اقلام شارژ'!A6</f>
        <v/>
      </c>
      <c r="C30" s="22">
        <f>IF('اقلام شارژ'!B6="","",'اقلام شارژ'!B6)</f>
        <v/>
      </c>
      <c r="D30" s="22">
        <f>IF('اقلام شارژ'!F6="","بدون تسهیم (صندوق)",'اقلام شارژ'!F6)</f>
        <v/>
      </c>
      <c r="E30" s="20">
        <f>IF('اقلام شارژ'!G6="بله",N('اقلام شارژ'!E6),0)</f>
        <v/>
      </c>
      <c r="F30" s="22">
        <f>'اقلام شارژ'!D6</f>
        <v/>
      </c>
      <c r="G30" s="22">
        <f>'اقلام شارژ'!C6</f>
        <v/>
      </c>
      <c r="H30" s="10" t="n">
        <v>18</v>
      </c>
      <c r="I30" s="12">
        <f>SUMIFS('محاسبه تسهیم'!$I$5:$I$265,'محاسبه تسهیم'!$A$5:$A$265,A30)</f>
        <v/>
      </c>
    </row>
    <row r="31">
      <c r="A31" s="4" t="inlineStr">
        <is>
          <t>L27</t>
        </is>
      </c>
      <c r="B31" s="22">
        <f>'اقلام شارژ'!A7</f>
        <v/>
      </c>
      <c r="C31" s="22">
        <f>IF('اقلام شارژ'!B7="","",'اقلام شارژ'!B7)</f>
        <v/>
      </c>
      <c r="D31" s="22">
        <f>IF('اقلام شارژ'!F7="","بدون تسهیم (صندوق)",'اقلام شارژ'!F7)</f>
        <v/>
      </c>
      <c r="E31" s="20">
        <f>IF('اقلام شارژ'!G7="بله",N('اقلام شارژ'!E7),0)</f>
        <v/>
      </c>
      <c r="F31" s="22">
        <f>'اقلام شارژ'!D7</f>
        <v/>
      </c>
      <c r="G31" s="22">
        <f>'اقلام شارژ'!C7</f>
        <v/>
      </c>
      <c r="H31" s="10" t="n">
        <v>19</v>
      </c>
      <c r="I31" s="12">
        <f>SUMIFS('محاسبه تسهیم'!$I$5:$I$265,'محاسبه تسهیم'!$A$5:$A$265,A31)</f>
        <v/>
      </c>
    </row>
    <row r="32">
      <c r="A32" s="4" t="inlineStr">
        <is>
          <t>L28</t>
        </is>
      </c>
      <c r="B32" s="22">
        <f>'اقلام شارژ'!A8</f>
        <v/>
      </c>
      <c r="C32" s="22">
        <f>IF('اقلام شارژ'!B8="","",'اقلام شارژ'!B8)</f>
        <v/>
      </c>
      <c r="D32" s="22">
        <f>IF('اقلام شارژ'!F8="","بدون تسهیم (صندوق)",'اقلام شارژ'!F8)</f>
        <v/>
      </c>
      <c r="E32" s="20">
        <f>IF('اقلام شارژ'!G8="بله",N('اقلام شارژ'!E8),0)</f>
        <v/>
      </c>
      <c r="F32" s="22">
        <f>'اقلام شارژ'!D8</f>
        <v/>
      </c>
      <c r="G32" s="22">
        <f>'اقلام شارژ'!C8</f>
        <v/>
      </c>
      <c r="H32" s="10" t="n">
        <v>20</v>
      </c>
      <c r="I32" s="12">
        <f>SUMIFS('محاسبه تسهیم'!$I$5:$I$265,'محاسبه تسهیم'!$A$5:$A$265,A32)</f>
        <v/>
      </c>
    </row>
    <row r="33">
      <c r="A33" s="4" t="inlineStr">
        <is>
          <t>L29</t>
        </is>
      </c>
      <c r="B33" s="22">
        <f>'اقلام شارژ'!A9</f>
        <v/>
      </c>
      <c r="C33" s="22">
        <f>IF('اقلام شارژ'!B9="","",'اقلام شارژ'!B9)</f>
        <v/>
      </c>
      <c r="D33" s="22">
        <f>IF('اقلام شارژ'!F9="","بدون تسهیم (صندوق)",'اقلام شارژ'!F9)</f>
        <v/>
      </c>
      <c r="E33" s="20">
        <f>IF('اقلام شارژ'!G9="بله",N('اقلام شارژ'!E9),0)</f>
        <v/>
      </c>
      <c r="F33" s="22">
        <f>'اقلام شارژ'!D9</f>
        <v/>
      </c>
      <c r="G33" s="22">
        <f>'اقلام شارژ'!C9</f>
        <v/>
      </c>
      <c r="H33" s="10" t="n">
        <v>21</v>
      </c>
      <c r="I33" s="12">
        <f>SUMIFS('محاسبه تسهیم'!$I$5:$I$265,'محاسبه تسهیم'!$A$5:$A$265,A33)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6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  <col width="12" customWidth="1" min="10" max="10"/>
    <col width="13" customWidth="1" min="11" max="11"/>
    <col width="14" customWidth="1" min="12" max="12"/>
    <col width="6" customWidth="1" min="13" max="13"/>
    <col width="12" customWidth="1" min="14" max="14"/>
    <col width="8" customWidth="1" min="15" max="15"/>
    <col width="9" customWidth="1" min="16" max="16"/>
    <col width="13" customWidth="1" min="17" max="17"/>
    <col width="9" customWidth="1" min="18" max="18"/>
    <col width="20" customWidth="1" min="19" max="19"/>
    <col width="7" customWidth="1" min="20" max="20"/>
  </cols>
  <sheetData>
    <row r="1">
      <c r="A1" s="1" t="inlineStr">
        <is>
          <t>محاسبه سهم هر واحد — روش بزرگ‌ترین باقیمانده</t>
        </is>
      </c>
    </row>
    <row r="2">
      <c r="A2" s="8" t="inlineStr">
        <is>
          <t>باقیمانده (عدد صحیح) = مبلغ×وزن − مجموع‌وزن×واحدگرد×⌊مبلغ×وزن÷(مجموع‌وزن×واحدگرد)⌋ ؛ رتبه بر اساس باقیمانده نزولی و سپس ترتیب واحد.</t>
        </is>
      </c>
    </row>
    <row r="4" ht="32" customHeight="1">
      <c r="A4" s="5" t="inlineStr">
        <is>
          <t>سطر</t>
        </is>
      </c>
      <c r="B4" s="5" t="inlineStr">
        <is>
          <t>منبع</t>
        </is>
      </c>
      <c r="C4" s="5" t="inlineStr">
        <is>
          <t>واحد</t>
        </is>
      </c>
      <c r="D4" s="5" t="inlineStr">
        <is>
          <t>ترتیب</t>
        </is>
      </c>
      <c r="E4" s="5" t="inlineStr">
        <is>
          <t>مبنا</t>
        </is>
      </c>
      <c r="F4" s="5" t="inlineStr">
        <is>
          <t>مبلغ سطر</t>
        </is>
      </c>
      <c r="G4" s="5" t="inlineStr">
        <is>
          <t>مشمول</t>
        </is>
      </c>
      <c r="H4" s="5" t="inlineStr">
        <is>
          <t>کمیت مبنا</t>
        </is>
      </c>
      <c r="I4" s="5" t="inlineStr">
        <is>
          <t>وزن</t>
        </is>
      </c>
      <c r="J4" s="5" t="inlineStr">
        <is>
          <t>مجموع وزن</t>
        </is>
      </c>
      <c r="K4" s="5" t="inlineStr">
        <is>
          <t>سهم پایه</t>
        </is>
      </c>
      <c r="L4" s="5" t="inlineStr">
        <is>
          <t>باقیمانده</t>
        </is>
      </c>
      <c r="M4" s="5" t="inlineStr">
        <is>
          <t>رتبه</t>
        </is>
      </c>
      <c r="N4" s="5" t="inlineStr">
        <is>
          <t>باقیمانده کل</t>
        </is>
      </c>
      <c r="O4" s="5" t="inlineStr">
        <is>
          <t>تعداد افزایش</t>
        </is>
      </c>
      <c r="P4" s="5" t="inlineStr">
        <is>
          <t>خرده نهایی</t>
        </is>
      </c>
      <c r="Q4" s="5" t="inlineStr">
        <is>
          <t>سهم نهایی</t>
        </is>
      </c>
      <c r="R4" s="5" t="inlineStr">
        <is>
          <t>صندوق</t>
        </is>
      </c>
      <c r="S4" s="5" t="inlineStr">
        <is>
          <t>دسته</t>
        </is>
      </c>
      <c r="T4" s="5" t="inlineStr">
        <is>
          <t>آب؟</t>
        </is>
      </c>
    </row>
    <row r="5">
      <c r="A5" s="22">
        <f>'سطرهای تسهیم'!A5</f>
        <v/>
      </c>
      <c r="B5" s="22">
        <f>'سطرهای تسهیم'!B5</f>
        <v/>
      </c>
      <c r="C5" s="22">
        <f>'واحدها'!A5</f>
        <v/>
      </c>
      <c r="D5" s="12">
        <f>'واحدها'!H5</f>
        <v/>
      </c>
      <c r="E5" s="22">
        <f>'سطرهای تسهیم'!D5</f>
        <v/>
      </c>
      <c r="F5" s="19">
        <f>'سطرهای تسهیم'!E5</f>
        <v/>
      </c>
      <c r="G5" s="12">
        <f>IF('واحدها'!F5="بله",'شمول'!B5,0)</f>
        <v/>
      </c>
      <c r="H5" s="10">
        <f>CHOOSE(MATCH(E5,'فهرست‌ها'!$A$4:$A$13,0),1,'واحدها'!E5,'واحدها'!D5*100,'واحدها'!J5,'واحدها'!J5,'وزن‌ها'!B5,'وزن‌ها'!B5,'واحدها'!K5,'واحدها'!L5,0)</f>
        <v/>
      </c>
      <c r="I5" s="10">
        <f>G5*H5</f>
        <v/>
      </c>
      <c r="J5" s="10">
        <f>SUMIFS($I$5:$I$265,$A$5:$A$265,A5)</f>
        <v/>
      </c>
      <c r="K5" s="20">
        <f>IF(J5=0,0,'تنظیمات'!$B$7*INT(F5*I5/(J5*'تنظیمات'!$B$7)))</f>
        <v/>
      </c>
      <c r="L5" s="10">
        <f>IF(J5=0,0,F5*I5-J5*'تنظیمات'!$B$7*INT(F5*I5/(J5*'تنظیمات'!$B$7)))</f>
        <v/>
      </c>
      <c r="M5" s="10">
        <f>1+COUNTIFS($A$5:$A$265,A5,$L$5:$L$265,"&gt;"&amp;L5)+COUNTIFS($A$5:$A$265,A5,$L$5:$L$265,L5,$D$5:$D$265,"&lt;"&amp;D5)</f>
        <v/>
      </c>
      <c r="N5" s="20">
        <f>IF(J5=0,0,F5-SUMIFS($K$5:$K$265,$A$5:$A$265,A5))</f>
        <v/>
      </c>
      <c r="O5" s="10">
        <f>INT(N5/'تنظیمات'!$B$7)</f>
        <v/>
      </c>
      <c r="P5" s="10">
        <f>N5-O5*'تنظیمات'!$B$7</f>
        <v/>
      </c>
      <c r="Q5" s="20">
        <f>IF(J5=0,0,K5+IF(M5&lt;=O5,'تنظیمات'!$B$7,0)+IF(M5=1,P5,0))</f>
        <v/>
      </c>
      <c r="R5" s="22">
        <f>'سطرهای تسهیم'!F5</f>
        <v/>
      </c>
      <c r="S5" s="22">
        <f>'سطرهای تسهیم'!G5</f>
        <v/>
      </c>
      <c r="T5" s="4">
        <f>IFERROR(INDEX('دسته‌ها'!$D$5:$D$25,MATCH(S5,'دسته‌ها'!$A$5:$A$25,0)),"خیر")</f>
        <v/>
      </c>
    </row>
    <row r="6">
      <c r="A6" s="22">
        <f>'سطرهای تسهیم'!A5</f>
        <v/>
      </c>
      <c r="B6" s="22">
        <f>'سطرهای تسهیم'!B5</f>
        <v/>
      </c>
      <c r="C6" s="22">
        <f>'واحدها'!A6</f>
        <v/>
      </c>
      <c r="D6" s="12">
        <f>'واحدها'!H6</f>
        <v/>
      </c>
      <c r="E6" s="22">
        <f>'سطرهای تسهیم'!D5</f>
        <v/>
      </c>
      <c r="F6" s="19">
        <f>'سطرهای تسهیم'!E5</f>
        <v/>
      </c>
      <c r="G6" s="12">
        <f>IF('واحدها'!F6="بله",'شمول'!C5,0)</f>
        <v/>
      </c>
      <c r="H6" s="10">
        <f>CHOOSE(MATCH(E6,'فهرست‌ها'!$A$4:$A$13,0),1,'واحدها'!E6,'واحدها'!D6*100,'واحدها'!J6,'واحدها'!J6,'وزن‌ها'!C5,'وزن‌ها'!C5,'واحدها'!K6,'واحدها'!L6,0)</f>
        <v/>
      </c>
      <c r="I6" s="10">
        <f>G6*H6</f>
        <v/>
      </c>
      <c r="J6" s="10">
        <f>SUMIFS($I$5:$I$265,$A$5:$A$265,A6)</f>
        <v/>
      </c>
      <c r="K6" s="20">
        <f>IF(J6=0,0,'تنظیمات'!$B$7*INT(F6*I6/(J6*'تنظیمات'!$B$7)))</f>
        <v/>
      </c>
      <c r="L6" s="10">
        <f>IF(J6=0,0,F6*I6-J6*'تنظیمات'!$B$7*INT(F6*I6/(J6*'تنظیمات'!$B$7)))</f>
        <v/>
      </c>
      <c r="M6" s="10">
        <f>1+COUNTIFS($A$5:$A$265,A6,$L$5:$L$265,"&gt;"&amp;L6)+COUNTIFS($A$5:$A$265,A6,$L$5:$L$265,L6,$D$5:$D$265,"&lt;"&amp;D6)</f>
        <v/>
      </c>
      <c r="N6" s="20">
        <f>IF(J6=0,0,F6-SUMIFS($K$5:$K$265,$A$5:$A$265,A6))</f>
        <v/>
      </c>
      <c r="O6" s="10">
        <f>INT(N6/'تنظیمات'!$B$7)</f>
        <v/>
      </c>
      <c r="P6" s="10">
        <f>N6-O6*'تنظیمات'!$B$7</f>
        <v/>
      </c>
      <c r="Q6" s="20">
        <f>IF(J6=0,0,K6+IF(M6&lt;=O6,'تنظیمات'!$B$7,0)+IF(M6=1,P6,0))</f>
        <v/>
      </c>
      <c r="R6" s="22">
        <f>'سطرهای تسهیم'!F5</f>
        <v/>
      </c>
      <c r="S6" s="22">
        <f>'سطرهای تسهیم'!G5</f>
        <v/>
      </c>
      <c r="T6" s="4">
        <f>IFERROR(INDEX('دسته‌ها'!$D$5:$D$25,MATCH(S6,'دسته‌ها'!$A$5:$A$25,0)),"خیر")</f>
        <v/>
      </c>
    </row>
    <row r="7">
      <c r="A7" s="22">
        <f>'سطرهای تسهیم'!A5</f>
        <v/>
      </c>
      <c r="B7" s="22">
        <f>'سطرهای تسهیم'!B5</f>
        <v/>
      </c>
      <c r="C7" s="22">
        <f>'واحدها'!A7</f>
        <v/>
      </c>
      <c r="D7" s="12">
        <f>'واحدها'!H7</f>
        <v/>
      </c>
      <c r="E7" s="22">
        <f>'سطرهای تسهیم'!D5</f>
        <v/>
      </c>
      <c r="F7" s="19">
        <f>'سطرهای تسهیم'!E5</f>
        <v/>
      </c>
      <c r="G7" s="12">
        <f>IF('واحدها'!F7="بله",'شمول'!D5,0)</f>
        <v/>
      </c>
      <c r="H7" s="10">
        <f>CHOOSE(MATCH(E7,'فهرست‌ها'!$A$4:$A$13,0),1,'واحدها'!E7,'واحدها'!D7*100,'واحدها'!J7,'واحدها'!J7,'وزن‌ها'!D5,'وزن‌ها'!D5,'واحدها'!K7,'واحدها'!L7,0)</f>
        <v/>
      </c>
      <c r="I7" s="10">
        <f>G7*H7</f>
        <v/>
      </c>
      <c r="J7" s="10">
        <f>SUMIFS($I$5:$I$265,$A$5:$A$265,A7)</f>
        <v/>
      </c>
      <c r="K7" s="20">
        <f>IF(J7=0,0,'تنظیمات'!$B$7*INT(F7*I7/(J7*'تنظیمات'!$B$7)))</f>
        <v/>
      </c>
      <c r="L7" s="10">
        <f>IF(J7=0,0,F7*I7-J7*'تنظیمات'!$B$7*INT(F7*I7/(J7*'تنظیمات'!$B$7)))</f>
        <v/>
      </c>
      <c r="M7" s="10">
        <f>1+COUNTIFS($A$5:$A$265,A7,$L$5:$L$265,"&gt;"&amp;L7)+COUNTIFS($A$5:$A$265,A7,$L$5:$L$265,L7,$D$5:$D$265,"&lt;"&amp;D7)</f>
        <v/>
      </c>
      <c r="N7" s="20">
        <f>IF(J7=0,0,F7-SUMIFS($K$5:$K$265,$A$5:$A$265,A7))</f>
        <v/>
      </c>
      <c r="O7" s="10">
        <f>INT(N7/'تنظیمات'!$B$7)</f>
        <v/>
      </c>
      <c r="P7" s="10">
        <f>N7-O7*'تنظیمات'!$B$7</f>
        <v/>
      </c>
      <c r="Q7" s="20">
        <f>IF(J7=0,0,K7+IF(M7&lt;=O7,'تنظیمات'!$B$7,0)+IF(M7=1,P7,0))</f>
        <v/>
      </c>
      <c r="R7" s="22">
        <f>'سطرهای تسهیم'!F5</f>
        <v/>
      </c>
      <c r="S7" s="22">
        <f>'سطرهای تسهیم'!G5</f>
        <v/>
      </c>
      <c r="T7" s="4">
        <f>IFERROR(INDEX('دسته‌ها'!$D$5:$D$25,MATCH(S7,'دسته‌ها'!$A$5:$A$25,0)),"خیر")</f>
        <v/>
      </c>
    </row>
    <row r="8">
      <c r="A8" s="22">
        <f>'سطرهای تسهیم'!A5</f>
        <v/>
      </c>
      <c r="B8" s="22">
        <f>'سطرهای تسهیم'!B5</f>
        <v/>
      </c>
      <c r="C8" s="22">
        <f>'واحدها'!A8</f>
        <v/>
      </c>
      <c r="D8" s="12">
        <f>'واحدها'!H8</f>
        <v/>
      </c>
      <c r="E8" s="22">
        <f>'سطرهای تسهیم'!D5</f>
        <v/>
      </c>
      <c r="F8" s="19">
        <f>'سطرهای تسهیم'!E5</f>
        <v/>
      </c>
      <c r="G8" s="12">
        <f>IF('واحدها'!F8="بله",'شمول'!E5,0)</f>
        <v/>
      </c>
      <c r="H8" s="10">
        <f>CHOOSE(MATCH(E8,'فهرست‌ها'!$A$4:$A$13,0),1,'واحدها'!E8,'واحدها'!D8*100,'واحدها'!J8,'واحدها'!J8,'وزن‌ها'!E5,'وزن‌ها'!E5,'واحدها'!K8,'واحدها'!L8,0)</f>
        <v/>
      </c>
      <c r="I8" s="10">
        <f>G8*H8</f>
        <v/>
      </c>
      <c r="J8" s="10">
        <f>SUMIFS($I$5:$I$265,$A$5:$A$265,A8)</f>
        <v/>
      </c>
      <c r="K8" s="20">
        <f>IF(J8=0,0,'تنظیمات'!$B$7*INT(F8*I8/(J8*'تنظیمات'!$B$7)))</f>
        <v/>
      </c>
      <c r="L8" s="10">
        <f>IF(J8=0,0,F8*I8-J8*'تنظیمات'!$B$7*INT(F8*I8/(J8*'تنظیمات'!$B$7)))</f>
        <v/>
      </c>
      <c r="M8" s="10">
        <f>1+COUNTIFS($A$5:$A$265,A8,$L$5:$L$265,"&gt;"&amp;L8)+COUNTIFS($A$5:$A$265,A8,$L$5:$L$265,L8,$D$5:$D$265,"&lt;"&amp;D8)</f>
        <v/>
      </c>
      <c r="N8" s="20">
        <f>IF(J8=0,0,F8-SUMIFS($K$5:$K$265,$A$5:$A$265,A8))</f>
        <v/>
      </c>
      <c r="O8" s="10">
        <f>INT(N8/'تنظیمات'!$B$7)</f>
        <v/>
      </c>
      <c r="P8" s="10">
        <f>N8-O8*'تنظیمات'!$B$7</f>
        <v/>
      </c>
      <c r="Q8" s="20">
        <f>IF(J8=0,0,K8+IF(M8&lt;=O8,'تنظیمات'!$B$7,0)+IF(M8=1,P8,0))</f>
        <v/>
      </c>
      <c r="R8" s="22">
        <f>'سطرهای تسهیم'!F5</f>
        <v/>
      </c>
      <c r="S8" s="22">
        <f>'سطرهای تسهیم'!G5</f>
        <v/>
      </c>
      <c r="T8" s="4">
        <f>IFERROR(INDEX('دسته‌ها'!$D$5:$D$25,MATCH(S8,'دسته‌ها'!$A$5:$A$25,0)),"خیر")</f>
        <v/>
      </c>
    </row>
    <row r="9">
      <c r="A9" s="22">
        <f>'سطرهای تسهیم'!A5</f>
        <v/>
      </c>
      <c r="B9" s="22">
        <f>'سطرهای تسهیم'!B5</f>
        <v/>
      </c>
      <c r="C9" s="22">
        <f>'واحدها'!A9</f>
        <v/>
      </c>
      <c r="D9" s="12">
        <f>'واحدها'!H9</f>
        <v/>
      </c>
      <c r="E9" s="22">
        <f>'سطرهای تسهیم'!D5</f>
        <v/>
      </c>
      <c r="F9" s="19">
        <f>'سطرهای تسهیم'!E5</f>
        <v/>
      </c>
      <c r="G9" s="12">
        <f>IF('واحدها'!F9="بله",'شمول'!F5,0)</f>
        <v/>
      </c>
      <c r="H9" s="10">
        <f>CHOOSE(MATCH(E9,'فهرست‌ها'!$A$4:$A$13,0),1,'واحدها'!E9,'واحدها'!D9*100,'واحدها'!J9,'واحدها'!J9,'وزن‌ها'!F5,'وزن‌ها'!F5,'واحدها'!K9,'واحدها'!L9,0)</f>
        <v/>
      </c>
      <c r="I9" s="10">
        <f>G9*H9</f>
        <v/>
      </c>
      <c r="J9" s="10">
        <f>SUMIFS($I$5:$I$265,$A$5:$A$265,A9)</f>
        <v/>
      </c>
      <c r="K9" s="20">
        <f>IF(J9=0,0,'تنظیمات'!$B$7*INT(F9*I9/(J9*'تنظیمات'!$B$7)))</f>
        <v/>
      </c>
      <c r="L9" s="10">
        <f>IF(J9=0,0,F9*I9-J9*'تنظیمات'!$B$7*INT(F9*I9/(J9*'تنظیمات'!$B$7)))</f>
        <v/>
      </c>
      <c r="M9" s="10">
        <f>1+COUNTIFS($A$5:$A$265,A9,$L$5:$L$265,"&gt;"&amp;L9)+COUNTIFS($A$5:$A$265,A9,$L$5:$L$265,L9,$D$5:$D$265,"&lt;"&amp;D9)</f>
        <v/>
      </c>
      <c r="N9" s="20">
        <f>IF(J9=0,0,F9-SUMIFS($K$5:$K$265,$A$5:$A$265,A9))</f>
        <v/>
      </c>
      <c r="O9" s="10">
        <f>INT(N9/'تنظیمات'!$B$7)</f>
        <v/>
      </c>
      <c r="P9" s="10">
        <f>N9-O9*'تنظیمات'!$B$7</f>
        <v/>
      </c>
      <c r="Q9" s="20">
        <f>IF(J9=0,0,K9+IF(M9&lt;=O9,'تنظیمات'!$B$7,0)+IF(M9=1,P9,0))</f>
        <v/>
      </c>
      <c r="R9" s="22">
        <f>'سطرهای تسهیم'!F5</f>
        <v/>
      </c>
      <c r="S9" s="22">
        <f>'سطرهای تسهیم'!G5</f>
        <v/>
      </c>
      <c r="T9" s="4">
        <f>IFERROR(INDEX('دسته‌ها'!$D$5:$D$25,MATCH(S9,'دسته‌ها'!$A$5:$A$25,0)),"خیر")</f>
        <v/>
      </c>
    </row>
    <row r="10">
      <c r="A10" s="22">
        <f>'سطرهای تسهیم'!A5</f>
        <v/>
      </c>
      <c r="B10" s="22">
        <f>'سطرهای تسهیم'!B5</f>
        <v/>
      </c>
      <c r="C10" s="22">
        <f>'واحدها'!A10</f>
        <v/>
      </c>
      <c r="D10" s="12">
        <f>'واحدها'!H10</f>
        <v/>
      </c>
      <c r="E10" s="22">
        <f>'سطرهای تسهیم'!D5</f>
        <v/>
      </c>
      <c r="F10" s="19">
        <f>'سطرهای تسهیم'!E5</f>
        <v/>
      </c>
      <c r="G10" s="12">
        <f>IF('واحدها'!F10="بله",'شمول'!G5,0)</f>
        <v/>
      </c>
      <c r="H10" s="10">
        <f>CHOOSE(MATCH(E10,'فهرست‌ها'!$A$4:$A$13,0),1,'واحدها'!E10,'واحدها'!D10*100,'واحدها'!J10,'واحدها'!J10,'وزن‌ها'!G5,'وزن‌ها'!G5,'واحدها'!K10,'واحدها'!L10,0)</f>
        <v/>
      </c>
      <c r="I10" s="10">
        <f>G10*H10</f>
        <v/>
      </c>
      <c r="J10" s="10">
        <f>SUMIFS($I$5:$I$265,$A$5:$A$265,A10)</f>
        <v/>
      </c>
      <c r="K10" s="20">
        <f>IF(J10=0,0,'تنظیمات'!$B$7*INT(F10*I10/(J10*'تنظیمات'!$B$7)))</f>
        <v/>
      </c>
      <c r="L10" s="10">
        <f>IF(J10=0,0,F10*I10-J10*'تنظیمات'!$B$7*INT(F10*I10/(J10*'تنظیمات'!$B$7)))</f>
        <v/>
      </c>
      <c r="M10" s="10">
        <f>1+COUNTIFS($A$5:$A$265,A10,$L$5:$L$265,"&gt;"&amp;L10)+COUNTIFS($A$5:$A$265,A10,$L$5:$L$265,L10,$D$5:$D$265,"&lt;"&amp;D10)</f>
        <v/>
      </c>
      <c r="N10" s="20">
        <f>IF(J10=0,0,F10-SUMIFS($K$5:$K$265,$A$5:$A$265,A10))</f>
        <v/>
      </c>
      <c r="O10" s="10">
        <f>INT(N10/'تنظیمات'!$B$7)</f>
        <v/>
      </c>
      <c r="P10" s="10">
        <f>N10-O10*'تنظیمات'!$B$7</f>
        <v/>
      </c>
      <c r="Q10" s="20">
        <f>IF(J10=0,0,K10+IF(M10&lt;=O10,'تنظیمات'!$B$7,0)+IF(M10=1,P10,0))</f>
        <v/>
      </c>
      <c r="R10" s="22">
        <f>'سطرهای تسهیم'!F5</f>
        <v/>
      </c>
      <c r="S10" s="22">
        <f>'سطرهای تسهیم'!G5</f>
        <v/>
      </c>
      <c r="T10" s="4">
        <f>IFERROR(INDEX('دسته‌ها'!$D$5:$D$25,MATCH(S10,'دسته‌ها'!$A$5:$A$25,0)),"خیر")</f>
        <v/>
      </c>
    </row>
    <row r="11">
      <c r="A11" s="22">
        <f>'سطرهای تسهیم'!A5</f>
        <v/>
      </c>
      <c r="B11" s="22">
        <f>'سطرهای تسهیم'!B5</f>
        <v/>
      </c>
      <c r="C11" s="22">
        <f>'واحدها'!A11</f>
        <v/>
      </c>
      <c r="D11" s="12">
        <f>'واحدها'!H11</f>
        <v/>
      </c>
      <c r="E11" s="22">
        <f>'سطرهای تسهیم'!D5</f>
        <v/>
      </c>
      <c r="F11" s="19">
        <f>'سطرهای تسهیم'!E5</f>
        <v/>
      </c>
      <c r="G11" s="12">
        <f>IF('واحدها'!F11="بله",'شمول'!H5,0)</f>
        <v/>
      </c>
      <c r="H11" s="10">
        <f>CHOOSE(MATCH(E11,'فهرست‌ها'!$A$4:$A$13,0),1,'واحدها'!E11,'واحدها'!D11*100,'واحدها'!J11,'واحدها'!J11,'وزن‌ها'!H5,'وزن‌ها'!H5,'واحدها'!K11,'واحدها'!L11,0)</f>
        <v/>
      </c>
      <c r="I11" s="10">
        <f>G11*H11</f>
        <v/>
      </c>
      <c r="J11" s="10">
        <f>SUMIFS($I$5:$I$265,$A$5:$A$265,A11)</f>
        <v/>
      </c>
      <c r="K11" s="20">
        <f>IF(J11=0,0,'تنظیمات'!$B$7*INT(F11*I11/(J11*'تنظیمات'!$B$7)))</f>
        <v/>
      </c>
      <c r="L11" s="10">
        <f>IF(J11=0,0,F11*I11-J11*'تنظیمات'!$B$7*INT(F11*I11/(J11*'تنظیمات'!$B$7)))</f>
        <v/>
      </c>
      <c r="M11" s="10">
        <f>1+COUNTIFS($A$5:$A$265,A11,$L$5:$L$265,"&gt;"&amp;L11)+COUNTIFS($A$5:$A$265,A11,$L$5:$L$265,L11,$D$5:$D$265,"&lt;"&amp;D11)</f>
        <v/>
      </c>
      <c r="N11" s="20">
        <f>IF(J11=0,0,F11-SUMIFS($K$5:$K$265,$A$5:$A$265,A11))</f>
        <v/>
      </c>
      <c r="O11" s="10">
        <f>INT(N11/'تنظیمات'!$B$7)</f>
        <v/>
      </c>
      <c r="P11" s="10">
        <f>N11-O11*'تنظیمات'!$B$7</f>
        <v/>
      </c>
      <c r="Q11" s="20">
        <f>IF(J11=0,0,K11+IF(M11&lt;=O11,'تنظیمات'!$B$7,0)+IF(M11=1,P11,0))</f>
        <v/>
      </c>
      <c r="R11" s="22">
        <f>'سطرهای تسهیم'!F5</f>
        <v/>
      </c>
      <c r="S11" s="22">
        <f>'سطرهای تسهیم'!G5</f>
        <v/>
      </c>
      <c r="T11" s="4">
        <f>IFERROR(INDEX('دسته‌ها'!$D$5:$D$25,MATCH(S11,'دسته‌ها'!$A$5:$A$25,0)),"خیر")</f>
        <v/>
      </c>
    </row>
    <row r="12">
      <c r="A12" s="22">
        <f>'سطرهای تسهیم'!A5</f>
        <v/>
      </c>
      <c r="B12" s="22">
        <f>'سطرهای تسهیم'!B5</f>
        <v/>
      </c>
      <c r="C12" s="22">
        <f>'واحدها'!A12</f>
        <v/>
      </c>
      <c r="D12" s="12">
        <f>'واحدها'!H12</f>
        <v/>
      </c>
      <c r="E12" s="22">
        <f>'سطرهای تسهیم'!D5</f>
        <v/>
      </c>
      <c r="F12" s="19">
        <f>'سطرهای تسهیم'!E5</f>
        <v/>
      </c>
      <c r="G12" s="12">
        <f>IF('واحدها'!F12="بله",'شمول'!I5,0)</f>
        <v/>
      </c>
      <c r="H12" s="10">
        <f>CHOOSE(MATCH(E12,'فهرست‌ها'!$A$4:$A$13,0),1,'واحدها'!E12,'واحدها'!D12*100,'واحدها'!J12,'واحدها'!J12,'وزن‌ها'!I5,'وزن‌ها'!I5,'واحدها'!K12,'واحدها'!L12,0)</f>
        <v/>
      </c>
      <c r="I12" s="10">
        <f>G12*H12</f>
        <v/>
      </c>
      <c r="J12" s="10">
        <f>SUMIFS($I$5:$I$265,$A$5:$A$265,A12)</f>
        <v/>
      </c>
      <c r="K12" s="20">
        <f>IF(J12=0,0,'تنظیمات'!$B$7*INT(F12*I12/(J12*'تنظیمات'!$B$7)))</f>
        <v/>
      </c>
      <c r="L12" s="10">
        <f>IF(J12=0,0,F12*I12-J12*'تنظیمات'!$B$7*INT(F12*I12/(J12*'تنظیمات'!$B$7)))</f>
        <v/>
      </c>
      <c r="M12" s="10">
        <f>1+COUNTIFS($A$5:$A$265,A12,$L$5:$L$265,"&gt;"&amp;L12)+COUNTIFS($A$5:$A$265,A12,$L$5:$L$265,L12,$D$5:$D$265,"&lt;"&amp;D12)</f>
        <v/>
      </c>
      <c r="N12" s="20">
        <f>IF(J12=0,0,F12-SUMIFS($K$5:$K$265,$A$5:$A$265,A12))</f>
        <v/>
      </c>
      <c r="O12" s="10">
        <f>INT(N12/'تنظیمات'!$B$7)</f>
        <v/>
      </c>
      <c r="P12" s="10">
        <f>N12-O12*'تنظیمات'!$B$7</f>
        <v/>
      </c>
      <c r="Q12" s="20">
        <f>IF(J12=0,0,K12+IF(M12&lt;=O12,'تنظیمات'!$B$7,0)+IF(M12=1,P12,0))</f>
        <v/>
      </c>
      <c r="R12" s="22">
        <f>'سطرهای تسهیم'!F5</f>
        <v/>
      </c>
      <c r="S12" s="22">
        <f>'سطرهای تسهیم'!G5</f>
        <v/>
      </c>
      <c r="T12" s="4">
        <f>IFERROR(INDEX('دسته‌ها'!$D$5:$D$25,MATCH(S12,'دسته‌ها'!$A$5:$A$25,0)),"خیر")</f>
        <v/>
      </c>
    </row>
    <row r="13">
      <c r="A13" s="22">
        <f>'سطرهای تسهیم'!A5</f>
        <v/>
      </c>
      <c r="B13" s="22">
        <f>'سطرهای تسهیم'!B5</f>
        <v/>
      </c>
      <c r="C13" s="22">
        <f>'واحدها'!A13</f>
        <v/>
      </c>
      <c r="D13" s="12">
        <f>'واحدها'!H13</f>
        <v/>
      </c>
      <c r="E13" s="22">
        <f>'سطرهای تسهیم'!D5</f>
        <v/>
      </c>
      <c r="F13" s="19">
        <f>'سطرهای تسهیم'!E5</f>
        <v/>
      </c>
      <c r="G13" s="12">
        <f>IF('واحدها'!F13="بله",'شمول'!J5,0)</f>
        <v/>
      </c>
      <c r="H13" s="10">
        <f>CHOOSE(MATCH(E13,'فهرست‌ها'!$A$4:$A$13,0),1,'واحدها'!E13,'واحدها'!D13*100,'واحدها'!J13,'واحدها'!J13,'وزن‌ها'!J5,'وزن‌ها'!J5,'واحدها'!K13,'واحدها'!L13,0)</f>
        <v/>
      </c>
      <c r="I13" s="10">
        <f>G13*H13</f>
        <v/>
      </c>
      <c r="J13" s="10">
        <f>SUMIFS($I$5:$I$265,$A$5:$A$265,A13)</f>
        <v/>
      </c>
      <c r="K13" s="20">
        <f>IF(J13=0,0,'تنظیمات'!$B$7*INT(F13*I13/(J13*'تنظیمات'!$B$7)))</f>
        <v/>
      </c>
      <c r="L13" s="10">
        <f>IF(J13=0,0,F13*I13-J13*'تنظیمات'!$B$7*INT(F13*I13/(J13*'تنظیمات'!$B$7)))</f>
        <v/>
      </c>
      <c r="M13" s="10">
        <f>1+COUNTIFS($A$5:$A$265,A13,$L$5:$L$265,"&gt;"&amp;L13)+COUNTIFS($A$5:$A$265,A13,$L$5:$L$265,L13,$D$5:$D$265,"&lt;"&amp;D13)</f>
        <v/>
      </c>
      <c r="N13" s="20">
        <f>IF(J13=0,0,F13-SUMIFS($K$5:$K$265,$A$5:$A$265,A13))</f>
        <v/>
      </c>
      <c r="O13" s="10">
        <f>INT(N13/'تنظیمات'!$B$7)</f>
        <v/>
      </c>
      <c r="P13" s="10">
        <f>N13-O13*'تنظیمات'!$B$7</f>
        <v/>
      </c>
      <c r="Q13" s="20">
        <f>IF(J13=0,0,K13+IF(M13&lt;=O13,'تنظیمات'!$B$7,0)+IF(M13=1,P13,0))</f>
        <v/>
      </c>
      <c r="R13" s="22">
        <f>'سطرهای تسهیم'!F5</f>
        <v/>
      </c>
      <c r="S13" s="22">
        <f>'سطرهای تسهیم'!G5</f>
        <v/>
      </c>
      <c r="T13" s="4">
        <f>IFERROR(INDEX('دسته‌ها'!$D$5:$D$25,MATCH(S13,'دسته‌ها'!$A$5:$A$25,0)),"خیر")</f>
        <v/>
      </c>
    </row>
    <row r="14">
      <c r="A14" s="22">
        <f>'سطرهای تسهیم'!A6</f>
        <v/>
      </c>
      <c r="B14" s="22">
        <f>'سطرهای تسهیم'!B6</f>
        <v/>
      </c>
      <c r="C14" s="22">
        <f>'واحدها'!A5</f>
        <v/>
      </c>
      <c r="D14" s="12">
        <f>'واحدها'!H5</f>
        <v/>
      </c>
      <c r="E14" s="22">
        <f>'سطرهای تسهیم'!D6</f>
        <v/>
      </c>
      <c r="F14" s="19">
        <f>'سطرهای تسهیم'!E6</f>
        <v/>
      </c>
      <c r="G14" s="12">
        <f>IF('واحدها'!F5="بله",'شمول'!B5,0)</f>
        <v/>
      </c>
      <c r="H14" s="10">
        <f>CHOOSE(MATCH(E14,'فهرست‌ها'!$A$4:$A$13,0),1,'واحدها'!E5,'واحدها'!D5*100,'واحدها'!J5,'واحدها'!J5,'وزن‌ها'!B5,'وزن‌ها'!B5,'واحدها'!K5,'واحدها'!L5,0)</f>
        <v/>
      </c>
      <c r="I14" s="10">
        <f>G14*H14</f>
        <v/>
      </c>
      <c r="J14" s="10">
        <f>SUMIFS($I$5:$I$265,$A$5:$A$265,A14)</f>
        <v/>
      </c>
      <c r="K14" s="20">
        <f>IF(J14=0,0,'تنظیمات'!$B$7*INT(F14*I14/(J14*'تنظیمات'!$B$7)))</f>
        <v/>
      </c>
      <c r="L14" s="10">
        <f>IF(J14=0,0,F14*I14-J14*'تنظیمات'!$B$7*INT(F14*I14/(J14*'تنظیمات'!$B$7)))</f>
        <v/>
      </c>
      <c r="M14" s="10">
        <f>1+COUNTIFS($A$5:$A$265,A14,$L$5:$L$265,"&gt;"&amp;L14)+COUNTIFS($A$5:$A$265,A14,$L$5:$L$265,L14,$D$5:$D$265,"&lt;"&amp;D14)</f>
        <v/>
      </c>
      <c r="N14" s="20">
        <f>IF(J14=0,0,F14-SUMIFS($K$5:$K$265,$A$5:$A$265,A14))</f>
        <v/>
      </c>
      <c r="O14" s="10">
        <f>INT(N14/'تنظیمات'!$B$7)</f>
        <v/>
      </c>
      <c r="P14" s="10">
        <f>N14-O14*'تنظیمات'!$B$7</f>
        <v/>
      </c>
      <c r="Q14" s="20">
        <f>IF(J14=0,0,K14+IF(M14&lt;=O14,'تنظیمات'!$B$7,0)+IF(M14=1,P14,0))</f>
        <v/>
      </c>
      <c r="R14" s="22">
        <f>'سطرهای تسهیم'!F6</f>
        <v/>
      </c>
      <c r="S14" s="22">
        <f>'سطرهای تسهیم'!G6</f>
        <v/>
      </c>
      <c r="T14" s="4">
        <f>IFERROR(INDEX('دسته‌ها'!$D$5:$D$25,MATCH(S14,'دسته‌ها'!$A$5:$A$25,0)),"خیر")</f>
        <v/>
      </c>
    </row>
    <row r="15">
      <c r="A15" s="22">
        <f>'سطرهای تسهیم'!A6</f>
        <v/>
      </c>
      <c r="B15" s="22">
        <f>'سطرهای تسهیم'!B6</f>
        <v/>
      </c>
      <c r="C15" s="22">
        <f>'واحدها'!A6</f>
        <v/>
      </c>
      <c r="D15" s="12">
        <f>'واحدها'!H6</f>
        <v/>
      </c>
      <c r="E15" s="22">
        <f>'سطرهای تسهیم'!D6</f>
        <v/>
      </c>
      <c r="F15" s="19">
        <f>'سطرهای تسهیم'!E6</f>
        <v/>
      </c>
      <c r="G15" s="12">
        <f>IF('واحدها'!F6="بله",'شمول'!C5,0)</f>
        <v/>
      </c>
      <c r="H15" s="10">
        <f>CHOOSE(MATCH(E15,'فهرست‌ها'!$A$4:$A$13,0),1,'واحدها'!E6,'واحدها'!D6*100,'واحدها'!J6,'واحدها'!J6,'وزن‌ها'!C5,'وزن‌ها'!C5,'واحدها'!K6,'واحدها'!L6,0)</f>
        <v/>
      </c>
      <c r="I15" s="10">
        <f>G15*H15</f>
        <v/>
      </c>
      <c r="J15" s="10">
        <f>SUMIFS($I$5:$I$265,$A$5:$A$265,A15)</f>
        <v/>
      </c>
      <c r="K15" s="20">
        <f>IF(J15=0,0,'تنظیمات'!$B$7*INT(F15*I15/(J15*'تنظیمات'!$B$7)))</f>
        <v/>
      </c>
      <c r="L15" s="10">
        <f>IF(J15=0,0,F15*I15-J15*'تنظیمات'!$B$7*INT(F15*I15/(J15*'تنظیمات'!$B$7)))</f>
        <v/>
      </c>
      <c r="M15" s="10">
        <f>1+COUNTIFS($A$5:$A$265,A15,$L$5:$L$265,"&gt;"&amp;L15)+COUNTIFS($A$5:$A$265,A15,$L$5:$L$265,L15,$D$5:$D$265,"&lt;"&amp;D15)</f>
        <v/>
      </c>
      <c r="N15" s="20">
        <f>IF(J15=0,0,F15-SUMIFS($K$5:$K$265,$A$5:$A$265,A15))</f>
        <v/>
      </c>
      <c r="O15" s="10">
        <f>INT(N15/'تنظیمات'!$B$7)</f>
        <v/>
      </c>
      <c r="P15" s="10">
        <f>N15-O15*'تنظیمات'!$B$7</f>
        <v/>
      </c>
      <c r="Q15" s="20">
        <f>IF(J15=0,0,K15+IF(M15&lt;=O15,'تنظیمات'!$B$7,0)+IF(M15=1,P15,0))</f>
        <v/>
      </c>
      <c r="R15" s="22">
        <f>'سطرهای تسهیم'!F6</f>
        <v/>
      </c>
      <c r="S15" s="22">
        <f>'سطرهای تسهیم'!G6</f>
        <v/>
      </c>
      <c r="T15" s="4">
        <f>IFERROR(INDEX('دسته‌ها'!$D$5:$D$25,MATCH(S15,'دسته‌ها'!$A$5:$A$25,0)),"خیر")</f>
        <v/>
      </c>
    </row>
    <row r="16">
      <c r="A16" s="22">
        <f>'سطرهای تسهیم'!A6</f>
        <v/>
      </c>
      <c r="B16" s="22">
        <f>'سطرهای تسهیم'!B6</f>
        <v/>
      </c>
      <c r="C16" s="22">
        <f>'واحدها'!A7</f>
        <v/>
      </c>
      <c r="D16" s="12">
        <f>'واحدها'!H7</f>
        <v/>
      </c>
      <c r="E16" s="22">
        <f>'سطرهای تسهیم'!D6</f>
        <v/>
      </c>
      <c r="F16" s="19">
        <f>'سطرهای تسهیم'!E6</f>
        <v/>
      </c>
      <c r="G16" s="12">
        <f>IF('واحدها'!F7="بله",'شمول'!D5,0)</f>
        <v/>
      </c>
      <c r="H16" s="10">
        <f>CHOOSE(MATCH(E16,'فهرست‌ها'!$A$4:$A$13,0),1,'واحدها'!E7,'واحدها'!D7*100,'واحدها'!J7,'واحدها'!J7,'وزن‌ها'!D5,'وزن‌ها'!D5,'واحدها'!K7,'واحدها'!L7,0)</f>
        <v/>
      </c>
      <c r="I16" s="10">
        <f>G16*H16</f>
        <v/>
      </c>
      <c r="J16" s="10">
        <f>SUMIFS($I$5:$I$265,$A$5:$A$265,A16)</f>
        <v/>
      </c>
      <c r="K16" s="20">
        <f>IF(J16=0,0,'تنظیمات'!$B$7*INT(F16*I16/(J16*'تنظیمات'!$B$7)))</f>
        <v/>
      </c>
      <c r="L16" s="10">
        <f>IF(J16=0,0,F16*I16-J16*'تنظیمات'!$B$7*INT(F16*I16/(J16*'تنظیمات'!$B$7)))</f>
        <v/>
      </c>
      <c r="M16" s="10">
        <f>1+COUNTIFS($A$5:$A$265,A16,$L$5:$L$265,"&gt;"&amp;L16)+COUNTIFS($A$5:$A$265,A16,$L$5:$L$265,L16,$D$5:$D$265,"&lt;"&amp;D16)</f>
        <v/>
      </c>
      <c r="N16" s="20">
        <f>IF(J16=0,0,F16-SUMIFS($K$5:$K$265,$A$5:$A$265,A16))</f>
        <v/>
      </c>
      <c r="O16" s="10">
        <f>INT(N16/'تنظیمات'!$B$7)</f>
        <v/>
      </c>
      <c r="P16" s="10">
        <f>N16-O16*'تنظیمات'!$B$7</f>
        <v/>
      </c>
      <c r="Q16" s="20">
        <f>IF(J16=0,0,K16+IF(M16&lt;=O16,'تنظیمات'!$B$7,0)+IF(M16=1,P16,0))</f>
        <v/>
      </c>
      <c r="R16" s="22">
        <f>'سطرهای تسهیم'!F6</f>
        <v/>
      </c>
      <c r="S16" s="22">
        <f>'سطرهای تسهیم'!G6</f>
        <v/>
      </c>
      <c r="T16" s="4">
        <f>IFERROR(INDEX('دسته‌ها'!$D$5:$D$25,MATCH(S16,'دسته‌ها'!$A$5:$A$25,0)),"خیر")</f>
        <v/>
      </c>
    </row>
    <row r="17">
      <c r="A17" s="22">
        <f>'سطرهای تسهیم'!A6</f>
        <v/>
      </c>
      <c r="B17" s="22">
        <f>'سطرهای تسهیم'!B6</f>
        <v/>
      </c>
      <c r="C17" s="22">
        <f>'واحدها'!A8</f>
        <v/>
      </c>
      <c r="D17" s="12">
        <f>'واحدها'!H8</f>
        <v/>
      </c>
      <c r="E17" s="22">
        <f>'سطرهای تسهیم'!D6</f>
        <v/>
      </c>
      <c r="F17" s="19">
        <f>'سطرهای تسهیم'!E6</f>
        <v/>
      </c>
      <c r="G17" s="12">
        <f>IF('واحدها'!F8="بله",'شمول'!E5,0)</f>
        <v/>
      </c>
      <c r="H17" s="10">
        <f>CHOOSE(MATCH(E17,'فهرست‌ها'!$A$4:$A$13,0),1,'واحدها'!E8,'واحدها'!D8*100,'واحدها'!J8,'واحدها'!J8,'وزن‌ها'!E5,'وزن‌ها'!E5,'واحدها'!K8,'واحدها'!L8,0)</f>
        <v/>
      </c>
      <c r="I17" s="10">
        <f>G17*H17</f>
        <v/>
      </c>
      <c r="J17" s="10">
        <f>SUMIFS($I$5:$I$265,$A$5:$A$265,A17)</f>
        <v/>
      </c>
      <c r="K17" s="20">
        <f>IF(J17=0,0,'تنظیمات'!$B$7*INT(F17*I17/(J17*'تنظیمات'!$B$7)))</f>
        <v/>
      </c>
      <c r="L17" s="10">
        <f>IF(J17=0,0,F17*I17-J17*'تنظیمات'!$B$7*INT(F17*I17/(J17*'تنظیمات'!$B$7)))</f>
        <v/>
      </c>
      <c r="M17" s="10">
        <f>1+COUNTIFS($A$5:$A$265,A17,$L$5:$L$265,"&gt;"&amp;L17)+COUNTIFS($A$5:$A$265,A17,$L$5:$L$265,L17,$D$5:$D$265,"&lt;"&amp;D17)</f>
        <v/>
      </c>
      <c r="N17" s="20">
        <f>IF(J17=0,0,F17-SUMIFS($K$5:$K$265,$A$5:$A$265,A17))</f>
        <v/>
      </c>
      <c r="O17" s="10">
        <f>INT(N17/'تنظیمات'!$B$7)</f>
        <v/>
      </c>
      <c r="P17" s="10">
        <f>N17-O17*'تنظیمات'!$B$7</f>
        <v/>
      </c>
      <c r="Q17" s="20">
        <f>IF(J17=0,0,K17+IF(M17&lt;=O17,'تنظیمات'!$B$7,0)+IF(M17=1,P17,0))</f>
        <v/>
      </c>
      <c r="R17" s="22">
        <f>'سطرهای تسهیم'!F6</f>
        <v/>
      </c>
      <c r="S17" s="22">
        <f>'سطرهای تسهیم'!G6</f>
        <v/>
      </c>
      <c r="T17" s="4">
        <f>IFERROR(INDEX('دسته‌ها'!$D$5:$D$25,MATCH(S17,'دسته‌ها'!$A$5:$A$25,0)),"خیر")</f>
        <v/>
      </c>
    </row>
    <row r="18">
      <c r="A18" s="22">
        <f>'سطرهای تسهیم'!A6</f>
        <v/>
      </c>
      <c r="B18" s="22">
        <f>'سطرهای تسهیم'!B6</f>
        <v/>
      </c>
      <c r="C18" s="22">
        <f>'واحدها'!A9</f>
        <v/>
      </c>
      <c r="D18" s="12">
        <f>'واحدها'!H9</f>
        <v/>
      </c>
      <c r="E18" s="22">
        <f>'سطرهای تسهیم'!D6</f>
        <v/>
      </c>
      <c r="F18" s="19">
        <f>'سطرهای تسهیم'!E6</f>
        <v/>
      </c>
      <c r="G18" s="12">
        <f>IF('واحدها'!F9="بله",'شمول'!F5,0)</f>
        <v/>
      </c>
      <c r="H18" s="10">
        <f>CHOOSE(MATCH(E18,'فهرست‌ها'!$A$4:$A$13,0),1,'واحدها'!E9,'واحدها'!D9*100,'واحدها'!J9,'واحدها'!J9,'وزن‌ها'!F5,'وزن‌ها'!F5,'واحدها'!K9,'واحدها'!L9,0)</f>
        <v/>
      </c>
      <c r="I18" s="10">
        <f>G18*H18</f>
        <v/>
      </c>
      <c r="J18" s="10">
        <f>SUMIFS($I$5:$I$265,$A$5:$A$265,A18)</f>
        <v/>
      </c>
      <c r="K18" s="20">
        <f>IF(J18=0,0,'تنظیمات'!$B$7*INT(F18*I18/(J18*'تنظیمات'!$B$7)))</f>
        <v/>
      </c>
      <c r="L18" s="10">
        <f>IF(J18=0,0,F18*I18-J18*'تنظیمات'!$B$7*INT(F18*I18/(J18*'تنظیمات'!$B$7)))</f>
        <v/>
      </c>
      <c r="M18" s="10">
        <f>1+COUNTIFS($A$5:$A$265,A18,$L$5:$L$265,"&gt;"&amp;L18)+COUNTIFS($A$5:$A$265,A18,$L$5:$L$265,L18,$D$5:$D$265,"&lt;"&amp;D18)</f>
        <v/>
      </c>
      <c r="N18" s="20">
        <f>IF(J18=0,0,F18-SUMIFS($K$5:$K$265,$A$5:$A$265,A18))</f>
        <v/>
      </c>
      <c r="O18" s="10">
        <f>INT(N18/'تنظیمات'!$B$7)</f>
        <v/>
      </c>
      <c r="P18" s="10">
        <f>N18-O18*'تنظیمات'!$B$7</f>
        <v/>
      </c>
      <c r="Q18" s="20">
        <f>IF(J18=0,0,K18+IF(M18&lt;=O18,'تنظیمات'!$B$7,0)+IF(M18=1,P18,0))</f>
        <v/>
      </c>
      <c r="R18" s="22">
        <f>'سطرهای تسهیم'!F6</f>
        <v/>
      </c>
      <c r="S18" s="22">
        <f>'سطرهای تسهیم'!G6</f>
        <v/>
      </c>
      <c r="T18" s="4">
        <f>IFERROR(INDEX('دسته‌ها'!$D$5:$D$25,MATCH(S18,'دسته‌ها'!$A$5:$A$25,0)),"خیر")</f>
        <v/>
      </c>
    </row>
    <row r="19">
      <c r="A19" s="22">
        <f>'سطرهای تسهیم'!A6</f>
        <v/>
      </c>
      <c r="B19" s="22">
        <f>'سطرهای تسهیم'!B6</f>
        <v/>
      </c>
      <c r="C19" s="22">
        <f>'واحدها'!A10</f>
        <v/>
      </c>
      <c r="D19" s="12">
        <f>'واحدها'!H10</f>
        <v/>
      </c>
      <c r="E19" s="22">
        <f>'سطرهای تسهیم'!D6</f>
        <v/>
      </c>
      <c r="F19" s="19">
        <f>'سطرهای تسهیم'!E6</f>
        <v/>
      </c>
      <c r="G19" s="12">
        <f>IF('واحدها'!F10="بله",'شمول'!G5,0)</f>
        <v/>
      </c>
      <c r="H19" s="10">
        <f>CHOOSE(MATCH(E19,'فهرست‌ها'!$A$4:$A$13,0),1,'واحدها'!E10,'واحدها'!D10*100,'واحدها'!J10,'واحدها'!J10,'وزن‌ها'!G5,'وزن‌ها'!G5,'واحدها'!K10,'واحدها'!L10,0)</f>
        <v/>
      </c>
      <c r="I19" s="10">
        <f>G19*H19</f>
        <v/>
      </c>
      <c r="J19" s="10">
        <f>SUMIFS($I$5:$I$265,$A$5:$A$265,A19)</f>
        <v/>
      </c>
      <c r="K19" s="20">
        <f>IF(J19=0,0,'تنظیمات'!$B$7*INT(F19*I19/(J19*'تنظیمات'!$B$7)))</f>
        <v/>
      </c>
      <c r="L19" s="10">
        <f>IF(J19=0,0,F19*I19-J19*'تنظیمات'!$B$7*INT(F19*I19/(J19*'تنظیمات'!$B$7)))</f>
        <v/>
      </c>
      <c r="M19" s="10">
        <f>1+COUNTIFS($A$5:$A$265,A19,$L$5:$L$265,"&gt;"&amp;L19)+COUNTIFS($A$5:$A$265,A19,$L$5:$L$265,L19,$D$5:$D$265,"&lt;"&amp;D19)</f>
        <v/>
      </c>
      <c r="N19" s="20">
        <f>IF(J19=0,0,F19-SUMIFS($K$5:$K$265,$A$5:$A$265,A19))</f>
        <v/>
      </c>
      <c r="O19" s="10">
        <f>INT(N19/'تنظیمات'!$B$7)</f>
        <v/>
      </c>
      <c r="P19" s="10">
        <f>N19-O19*'تنظیمات'!$B$7</f>
        <v/>
      </c>
      <c r="Q19" s="20">
        <f>IF(J19=0,0,K19+IF(M19&lt;=O19,'تنظیمات'!$B$7,0)+IF(M19=1,P19,0))</f>
        <v/>
      </c>
      <c r="R19" s="22">
        <f>'سطرهای تسهیم'!F6</f>
        <v/>
      </c>
      <c r="S19" s="22">
        <f>'سطرهای تسهیم'!G6</f>
        <v/>
      </c>
      <c r="T19" s="4">
        <f>IFERROR(INDEX('دسته‌ها'!$D$5:$D$25,MATCH(S19,'دسته‌ها'!$A$5:$A$25,0)),"خیر")</f>
        <v/>
      </c>
    </row>
    <row r="20">
      <c r="A20" s="22">
        <f>'سطرهای تسهیم'!A6</f>
        <v/>
      </c>
      <c r="B20" s="22">
        <f>'سطرهای تسهیم'!B6</f>
        <v/>
      </c>
      <c r="C20" s="22">
        <f>'واحدها'!A11</f>
        <v/>
      </c>
      <c r="D20" s="12">
        <f>'واحدها'!H11</f>
        <v/>
      </c>
      <c r="E20" s="22">
        <f>'سطرهای تسهیم'!D6</f>
        <v/>
      </c>
      <c r="F20" s="19">
        <f>'سطرهای تسهیم'!E6</f>
        <v/>
      </c>
      <c r="G20" s="12">
        <f>IF('واحدها'!F11="بله",'شمول'!H5,0)</f>
        <v/>
      </c>
      <c r="H20" s="10">
        <f>CHOOSE(MATCH(E20,'فهرست‌ها'!$A$4:$A$13,0),1,'واحدها'!E11,'واحدها'!D11*100,'واحدها'!J11,'واحدها'!J11,'وزن‌ها'!H5,'وزن‌ها'!H5,'واحدها'!K11,'واحدها'!L11,0)</f>
        <v/>
      </c>
      <c r="I20" s="10">
        <f>G20*H20</f>
        <v/>
      </c>
      <c r="J20" s="10">
        <f>SUMIFS($I$5:$I$265,$A$5:$A$265,A20)</f>
        <v/>
      </c>
      <c r="K20" s="20">
        <f>IF(J20=0,0,'تنظیمات'!$B$7*INT(F20*I20/(J20*'تنظیمات'!$B$7)))</f>
        <v/>
      </c>
      <c r="L20" s="10">
        <f>IF(J20=0,0,F20*I20-J20*'تنظیمات'!$B$7*INT(F20*I20/(J20*'تنظیمات'!$B$7)))</f>
        <v/>
      </c>
      <c r="M20" s="10">
        <f>1+COUNTIFS($A$5:$A$265,A20,$L$5:$L$265,"&gt;"&amp;L20)+COUNTIFS($A$5:$A$265,A20,$L$5:$L$265,L20,$D$5:$D$265,"&lt;"&amp;D20)</f>
        <v/>
      </c>
      <c r="N20" s="20">
        <f>IF(J20=0,0,F20-SUMIFS($K$5:$K$265,$A$5:$A$265,A20))</f>
        <v/>
      </c>
      <c r="O20" s="10">
        <f>INT(N20/'تنظیمات'!$B$7)</f>
        <v/>
      </c>
      <c r="P20" s="10">
        <f>N20-O20*'تنظیمات'!$B$7</f>
        <v/>
      </c>
      <c r="Q20" s="20">
        <f>IF(J20=0,0,K20+IF(M20&lt;=O20,'تنظیمات'!$B$7,0)+IF(M20=1,P20,0))</f>
        <v/>
      </c>
      <c r="R20" s="22">
        <f>'سطرهای تسهیم'!F6</f>
        <v/>
      </c>
      <c r="S20" s="22">
        <f>'سطرهای تسهیم'!G6</f>
        <v/>
      </c>
      <c r="T20" s="4">
        <f>IFERROR(INDEX('دسته‌ها'!$D$5:$D$25,MATCH(S20,'دسته‌ها'!$A$5:$A$25,0)),"خیر")</f>
        <v/>
      </c>
    </row>
    <row r="21">
      <c r="A21" s="22">
        <f>'سطرهای تسهیم'!A6</f>
        <v/>
      </c>
      <c r="B21" s="22">
        <f>'سطرهای تسهیم'!B6</f>
        <v/>
      </c>
      <c r="C21" s="22">
        <f>'واحدها'!A12</f>
        <v/>
      </c>
      <c r="D21" s="12">
        <f>'واحدها'!H12</f>
        <v/>
      </c>
      <c r="E21" s="22">
        <f>'سطرهای تسهیم'!D6</f>
        <v/>
      </c>
      <c r="F21" s="19">
        <f>'سطرهای تسهیم'!E6</f>
        <v/>
      </c>
      <c r="G21" s="12">
        <f>IF('واحدها'!F12="بله",'شمول'!I5,0)</f>
        <v/>
      </c>
      <c r="H21" s="10">
        <f>CHOOSE(MATCH(E21,'فهرست‌ها'!$A$4:$A$13,0),1,'واحدها'!E12,'واحدها'!D12*100,'واحدها'!J12,'واحدها'!J12,'وزن‌ها'!I5,'وزن‌ها'!I5,'واحدها'!K12,'واحدها'!L12,0)</f>
        <v/>
      </c>
      <c r="I21" s="10">
        <f>G21*H21</f>
        <v/>
      </c>
      <c r="J21" s="10">
        <f>SUMIFS($I$5:$I$265,$A$5:$A$265,A21)</f>
        <v/>
      </c>
      <c r="K21" s="20">
        <f>IF(J21=0,0,'تنظیمات'!$B$7*INT(F21*I21/(J21*'تنظیمات'!$B$7)))</f>
        <v/>
      </c>
      <c r="L21" s="10">
        <f>IF(J21=0,0,F21*I21-J21*'تنظیمات'!$B$7*INT(F21*I21/(J21*'تنظیمات'!$B$7)))</f>
        <v/>
      </c>
      <c r="M21" s="10">
        <f>1+COUNTIFS($A$5:$A$265,A21,$L$5:$L$265,"&gt;"&amp;L21)+COUNTIFS($A$5:$A$265,A21,$L$5:$L$265,L21,$D$5:$D$265,"&lt;"&amp;D21)</f>
        <v/>
      </c>
      <c r="N21" s="20">
        <f>IF(J21=0,0,F21-SUMIFS($K$5:$K$265,$A$5:$A$265,A21))</f>
        <v/>
      </c>
      <c r="O21" s="10">
        <f>INT(N21/'تنظیمات'!$B$7)</f>
        <v/>
      </c>
      <c r="P21" s="10">
        <f>N21-O21*'تنظیمات'!$B$7</f>
        <v/>
      </c>
      <c r="Q21" s="20">
        <f>IF(J21=0,0,K21+IF(M21&lt;=O21,'تنظیمات'!$B$7,0)+IF(M21=1,P21,0))</f>
        <v/>
      </c>
      <c r="R21" s="22">
        <f>'سطرهای تسهیم'!F6</f>
        <v/>
      </c>
      <c r="S21" s="22">
        <f>'سطرهای تسهیم'!G6</f>
        <v/>
      </c>
      <c r="T21" s="4">
        <f>IFERROR(INDEX('دسته‌ها'!$D$5:$D$25,MATCH(S21,'دسته‌ها'!$A$5:$A$25,0)),"خیر")</f>
        <v/>
      </c>
    </row>
    <row r="22">
      <c r="A22" s="22">
        <f>'سطرهای تسهیم'!A6</f>
        <v/>
      </c>
      <c r="B22" s="22">
        <f>'سطرهای تسهیم'!B6</f>
        <v/>
      </c>
      <c r="C22" s="22">
        <f>'واحدها'!A13</f>
        <v/>
      </c>
      <c r="D22" s="12">
        <f>'واحدها'!H13</f>
        <v/>
      </c>
      <c r="E22" s="22">
        <f>'سطرهای تسهیم'!D6</f>
        <v/>
      </c>
      <c r="F22" s="19">
        <f>'سطرهای تسهیم'!E6</f>
        <v/>
      </c>
      <c r="G22" s="12">
        <f>IF('واحدها'!F13="بله",'شمول'!J5,0)</f>
        <v/>
      </c>
      <c r="H22" s="10">
        <f>CHOOSE(MATCH(E22,'فهرست‌ها'!$A$4:$A$13,0),1,'واحدها'!E13,'واحدها'!D13*100,'واحدها'!J13,'واحدها'!J13,'وزن‌ها'!J5,'وزن‌ها'!J5,'واحدها'!K13,'واحدها'!L13,0)</f>
        <v/>
      </c>
      <c r="I22" s="10">
        <f>G22*H22</f>
        <v/>
      </c>
      <c r="J22" s="10">
        <f>SUMIFS($I$5:$I$265,$A$5:$A$265,A22)</f>
        <v/>
      </c>
      <c r="K22" s="20">
        <f>IF(J22=0,0,'تنظیمات'!$B$7*INT(F22*I22/(J22*'تنظیمات'!$B$7)))</f>
        <v/>
      </c>
      <c r="L22" s="10">
        <f>IF(J22=0,0,F22*I22-J22*'تنظیمات'!$B$7*INT(F22*I22/(J22*'تنظیمات'!$B$7)))</f>
        <v/>
      </c>
      <c r="M22" s="10">
        <f>1+COUNTIFS($A$5:$A$265,A22,$L$5:$L$265,"&gt;"&amp;L22)+COUNTIFS($A$5:$A$265,A22,$L$5:$L$265,L22,$D$5:$D$265,"&lt;"&amp;D22)</f>
        <v/>
      </c>
      <c r="N22" s="20">
        <f>IF(J22=0,0,F22-SUMIFS($K$5:$K$265,$A$5:$A$265,A22))</f>
        <v/>
      </c>
      <c r="O22" s="10">
        <f>INT(N22/'تنظیمات'!$B$7)</f>
        <v/>
      </c>
      <c r="P22" s="10">
        <f>N22-O22*'تنظیمات'!$B$7</f>
        <v/>
      </c>
      <c r="Q22" s="20">
        <f>IF(J22=0,0,K22+IF(M22&lt;=O22,'تنظیمات'!$B$7,0)+IF(M22=1,P22,0))</f>
        <v/>
      </c>
      <c r="R22" s="22">
        <f>'سطرهای تسهیم'!F6</f>
        <v/>
      </c>
      <c r="S22" s="22">
        <f>'سطرهای تسهیم'!G6</f>
        <v/>
      </c>
      <c r="T22" s="4">
        <f>IFERROR(INDEX('دسته‌ها'!$D$5:$D$25,MATCH(S22,'دسته‌ها'!$A$5:$A$25,0)),"خیر")</f>
        <v/>
      </c>
    </row>
    <row r="23">
      <c r="A23" s="22">
        <f>'سطرهای تسهیم'!A7</f>
        <v/>
      </c>
      <c r="B23" s="22">
        <f>'سطرهای تسهیم'!B7</f>
        <v/>
      </c>
      <c r="C23" s="22">
        <f>'واحدها'!A5</f>
        <v/>
      </c>
      <c r="D23" s="12">
        <f>'واحدها'!H5</f>
        <v/>
      </c>
      <c r="E23" s="22">
        <f>'سطرهای تسهیم'!D7</f>
        <v/>
      </c>
      <c r="F23" s="19">
        <f>'سطرهای تسهیم'!E7</f>
        <v/>
      </c>
      <c r="G23" s="12">
        <f>IF('واحدها'!F5="بله",'شمول'!B6,0)</f>
        <v/>
      </c>
      <c r="H23" s="10">
        <f>CHOOSE(MATCH(E23,'فهرست‌ها'!$A$4:$A$13,0),1,'واحدها'!E5,'واحدها'!D5*100,'واحدها'!J5,'واحدها'!J5,'وزن‌ها'!B6,'وزن‌ها'!B6,'واحدها'!K5,'واحدها'!L5,0)</f>
        <v/>
      </c>
      <c r="I23" s="10">
        <f>G23*H23</f>
        <v/>
      </c>
      <c r="J23" s="10">
        <f>SUMIFS($I$5:$I$265,$A$5:$A$265,A23)</f>
        <v/>
      </c>
      <c r="K23" s="20">
        <f>IF(J23=0,0,'تنظیمات'!$B$7*INT(F23*I23/(J23*'تنظیمات'!$B$7)))</f>
        <v/>
      </c>
      <c r="L23" s="10">
        <f>IF(J23=0,0,F23*I23-J23*'تنظیمات'!$B$7*INT(F23*I23/(J23*'تنظیمات'!$B$7)))</f>
        <v/>
      </c>
      <c r="M23" s="10">
        <f>1+COUNTIFS($A$5:$A$265,A23,$L$5:$L$265,"&gt;"&amp;L23)+COUNTIFS($A$5:$A$265,A23,$L$5:$L$265,L23,$D$5:$D$265,"&lt;"&amp;D23)</f>
        <v/>
      </c>
      <c r="N23" s="20">
        <f>IF(J23=0,0,F23-SUMIFS($K$5:$K$265,$A$5:$A$265,A23))</f>
        <v/>
      </c>
      <c r="O23" s="10">
        <f>INT(N23/'تنظیمات'!$B$7)</f>
        <v/>
      </c>
      <c r="P23" s="10">
        <f>N23-O23*'تنظیمات'!$B$7</f>
        <v/>
      </c>
      <c r="Q23" s="20">
        <f>IF(J23=0,0,K23+IF(M23&lt;=O23,'تنظیمات'!$B$7,0)+IF(M23=1,P23,0))</f>
        <v/>
      </c>
      <c r="R23" s="22">
        <f>'سطرهای تسهیم'!F7</f>
        <v/>
      </c>
      <c r="S23" s="22">
        <f>'سطرهای تسهیم'!G7</f>
        <v/>
      </c>
      <c r="T23" s="4">
        <f>IFERROR(INDEX('دسته‌ها'!$D$5:$D$25,MATCH(S23,'دسته‌ها'!$A$5:$A$25,0)),"خیر")</f>
        <v/>
      </c>
    </row>
    <row r="24">
      <c r="A24" s="22">
        <f>'سطرهای تسهیم'!A7</f>
        <v/>
      </c>
      <c r="B24" s="22">
        <f>'سطرهای تسهیم'!B7</f>
        <v/>
      </c>
      <c r="C24" s="22">
        <f>'واحدها'!A6</f>
        <v/>
      </c>
      <c r="D24" s="12">
        <f>'واحدها'!H6</f>
        <v/>
      </c>
      <c r="E24" s="22">
        <f>'سطرهای تسهیم'!D7</f>
        <v/>
      </c>
      <c r="F24" s="19">
        <f>'سطرهای تسهیم'!E7</f>
        <v/>
      </c>
      <c r="G24" s="12">
        <f>IF('واحدها'!F6="بله",'شمول'!C6,0)</f>
        <v/>
      </c>
      <c r="H24" s="10">
        <f>CHOOSE(MATCH(E24,'فهرست‌ها'!$A$4:$A$13,0),1,'واحدها'!E6,'واحدها'!D6*100,'واحدها'!J6,'واحدها'!J6,'وزن‌ها'!C6,'وزن‌ها'!C6,'واحدها'!K6,'واحدها'!L6,0)</f>
        <v/>
      </c>
      <c r="I24" s="10">
        <f>G24*H24</f>
        <v/>
      </c>
      <c r="J24" s="10">
        <f>SUMIFS($I$5:$I$265,$A$5:$A$265,A24)</f>
        <v/>
      </c>
      <c r="K24" s="20">
        <f>IF(J24=0,0,'تنظیمات'!$B$7*INT(F24*I24/(J24*'تنظیمات'!$B$7)))</f>
        <v/>
      </c>
      <c r="L24" s="10">
        <f>IF(J24=0,0,F24*I24-J24*'تنظیمات'!$B$7*INT(F24*I24/(J24*'تنظیمات'!$B$7)))</f>
        <v/>
      </c>
      <c r="M24" s="10">
        <f>1+COUNTIFS($A$5:$A$265,A24,$L$5:$L$265,"&gt;"&amp;L24)+COUNTIFS($A$5:$A$265,A24,$L$5:$L$265,L24,$D$5:$D$265,"&lt;"&amp;D24)</f>
        <v/>
      </c>
      <c r="N24" s="20">
        <f>IF(J24=0,0,F24-SUMIFS($K$5:$K$265,$A$5:$A$265,A24))</f>
        <v/>
      </c>
      <c r="O24" s="10">
        <f>INT(N24/'تنظیمات'!$B$7)</f>
        <v/>
      </c>
      <c r="P24" s="10">
        <f>N24-O24*'تنظیمات'!$B$7</f>
        <v/>
      </c>
      <c r="Q24" s="20">
        <f>IF(J24=0,0,K24+IF(M24&lt;=O24,'تنظیمات'!$B$7,0)+IF(M24=1,P24,0))</f>
        <v/>
      </c>
      <c r="R24" s="22">
        <f>'سطرهای تسهیم'!F7</f>
        <v/>
      </c>
      <c r="S24" s="22">
        <f>'سطرهای تسهیم'!G7</f>
        <v/>
      </c>
      <c r="T24" s="4">
        <f>IFERROR(INDEX('دسته‌ها'!$D$5:$D$25,MATCH(S24,'دسته‌ها'!$A$5:$A$25,0)),"خیر")</f>
        <v/>
      </c>
    </row>
    <row r="25">
      <c r="A25" s="22">
        <f>'سطرهای تسهیم'!A7</f>
        <v/>
      </c>
      <c r="B25" s="22">
        <f>'سطرهای تسهیم'!B7</f>
        <v/>
      </c>
      <c r="C25" s="22">
        <f>'واحدها'!A7</f>
        <v/>
      </c>
      <c r="D25" s="12">
        <f>'واحدها'!H7</f>
        <v/>
      </c>
      <c r="E25" s="22">
        <f>'سطرهای تسهیم'!D7</f>
        <v/>
      </c>
      <c r="F25" s="19">
        <f>'سطرهای تسهیم'!E7</f>
        <v/>
      </c>
      <c r="G25" s="12">
        <f>IF('واحدها'!F7="بله",'شمول'!D6,0)</f>
        <v/>
      </c>
      <c r="H25" s="10">
        <f>CHOOSE(MATCH(E25,'فهرست‌ها'!$A$4:$A$13,0),1,'واحدها'!E7,'واحدها'!D7*100,'واحدها'!J7,'واحدها'!J7,'وزن‌ها'!D6,'وزن‌ها'!D6,'واحدها'!K7,'واحدها'!L7,0)</f>
        <v/>
      </c>
      <c r="I25" s="10">
        <f>G25*H25</f>
        <v/>
      </c>
      <c r="J25" s="10">
        <f>SUMIFS($I$5:$I$265,$A$5:$A$265,A25)</f>
        <v/>
      </c>
      <c r="K25" s="20">
        <f>IF(J25=0,0,'تنظیمات'!$B$7*INT(F25*I25/(J25*'تنظیمات'!$B$7)))</f>
        <v/>
      </c>
      <c r="L25" s="10">
        <f>IF(J25=0,0,F25*I25-J25*'تنظیمات'!$B$7*INT(F25*I25/(J25*'تنظیمات'!$B$7)))</f>
        <v/>
      </c>
      <c r="M25" s="10">
        <f>1+COUNTIFS($A$5:$A$265,A25,$L$5:$L$265,"&gt;"&amp;L25)+COUNTIFS($A$5:$A$265,A25,$L$5:$L$265,L25,$D$5:$D$265,"&lt;"&amp;D25)</f>
        <v/>
      </c>
      <c r="N25" s="20">
        <f>IF(J25=0,0,F25-SUMIFS($K$5:$K$265,$A$5:$A$265,A25))</f>
        <v/>
      </c>
      <c r="O25" s="10">
        <f>INT(N25/'تنظیمات'!$B$7)</f>
        <v/>
      </c>
      <c r="P25" s="10">
        <f>N25-O25*'تنظیمات'!$B$7</f>
        <v/>
      </c>
      <c r="Q25" s="20">
        <f>IF(J25=0,0,K25+IF(M25&lt;=O25,'تنظیمات'!$B$7,0)+IF(M25=1,P25,0))</f>
        <v/>
      </c>
      <c r="R25" s="22">
        <f>'سطرهای تسهیم'!F7</f>
        <v/>
      </c>
      <c r="S25" s="22">
        <f>'سطرهای تسهیم'!G7</f>
        <v/>
      </c>
      <c r="T25" s="4">
        <f>IFERROR(INDEX('دسته‌ها'!$D$5:$D$25,MATCH(S25,'دسته‌ها'!$A$5:$A$25,0)),"خیر")</f>
        <v/>
      </c>
    </row>
    <row r="26">
      <c r="A26" s="22">
        <f>'سطرهای تسهیم'!A7</f>
        <v/>
      </c>
      <c r="B26" s="22">
        <f>'سطرهای تسهیم'!B7</f>
        <v/>
      </c>
      <c r="C26" s="22">
        <f>'واحدها'!A8</f>
        <v/>
      </c>
      <c r="D26" s="12">
        <f>'واحدها'!H8</f>
        <v/>
      </c>
      <c r="E26" s="22">
        <f>'سطرهای تسهیم'!D7</f>
        <v/>
      </c>
      <c r="F26" s="19">
        <f>'سطرهای تسهیم'!E7</f>
        <v/>
      </c>
      <c r="G26" s="12">
        <f>IF('واحدها'!F8="بله",'شمول'!E6,0)</f>
        <v/>
      </c>
      <c r="H26" s="10">
        <f>CHOOSE(MATCH(E26,'فهرست‌ها'!$A$4:$A$13,0),1,'واحدها'!E8,'واحدها'!D8*100,'واحدها'!J8,'واحدها'!J8,'وزن‌ها'!E6,'وزن‌ها'!E6,'واحدها'!K8,'واحدها'!L8,0)</f>
        <v/>
      </c>
      <c r="I26" s="10">
        <f>G26*H26</f>
        <v/>
      </c>
      <c r="J26" s="10">
        <f>SUMIFS($I$5:$I$265,$A$5:$A$265,A26)</f>
        <v/>
      </c>
      <c r="K26" s="20">
        <f>IF(J26=0,0,'تنظیمات'!$B$7*INT(F26*I26/(J26*'تنظیمات'!$B$7)))</f>
        <v/>
      </c>
      <c r="L26" s="10">
        <f>IF(J26=0,0,F26*I26-J26*'تنظیمات'!$B$7*INT(F26*I26/(J26*'تنظیمات'!$B$7)))</f>
        <v/>
      </c>
      <c r="M26" s="10">
        <f>1+COUNTIFS($A$5:$A$265,A26,$L$5:$L$265,"&gt;"&amp;L26)+COUNTIFS($A$5:$A$265,A26,$L$5:$L$265,L26,$D$5:$D$265,"&lt;"&amp;D26)</f>
        <v/>
      </c>
      <c r="N26" s="20">
        <f>IF(J26=0,0,F26-SUMIFS($K$5:$K$265,$A$5:$A$265,A26))</f>
        <v/>
      </c>
      <c r="O26" s="10">
        <f>INT(N26/'تنظیمات'!$B$7)</f>
        <v/>
      </c>
      <c r="P26" s="10">
        <f>N26-O26*'تنظیمات'!$B$7</f>
        <v/>
      </c>
      <c r="Q26" s="20">
        <f>IF(J26=0,0,K26+IF(M26&lt;=O26,'تنظیمات'!$B$7,0)+IF(M26=1,P26,0))</f>
        <v/>
      </c>
      <c r="R26" s="22">
        <f>'سطرهای تسهیم'!F7</f>
        <v/>
      </c>
      <c r="S26" s="22">
        <f>'سطرهای تسهیم'!G7</f>
        <v/>
      </c>
      <c r="T26" s="4">
        <f>IFERROR(INDEX('دسته‌ها'!$D$5:$D$25,MATCH(S26,'دسته‌ها'!$A$5:$A$25,0)),"خیر")</f>
        <v/>
      </c>
    </row>
    <row r="27">
      <c r="A27" s="22">
        <f>'سطرهای تسهیم'!A7</f>
        <v/>
      </c>
      <c r="B27" s="22">
        <f>'سطرهای تسهیم'!B7</f>
        <v/>
      </c>
      <c r="C27" s="22">
        <f>'واحدها'!A9</f>
        <v/>
      </c>
      <c r="D27" s="12">
        <f>'واحدها'!H9</f>
        <v/>
      </c>
      <c r="E27" s="22">
        <f>'سطرهای تسهیم'!D7</f>
        <v/>
      </c>
      <c r="F27" s="19">
        <f>'سطرهای تسهیم'!E7</f>
        <v/>
      </c>
      <c r="G27" s="12">
        <f>IF('واحدها'!F9="بله",'شمول'!F6,0)</f>
        <v/>
      </c>
      <c r="H27" s="10">
        <f>CHOOSE(MATCH(E27,'فهرست‌ها'!$A$4:$A$13,0),1,'واحدها'!E9,'واحدها'!D9*100,'واحدها'!J9,'واحدها'!J9,'وزن‌ها'!F6,'وزن‌ها'!F6,'واحدها'!K9,'واحدها'!L9,0)</f>
        <v/>
      </c>
      <c r="I27" s="10">
        <f>G27*H27</f>
        <v/>
      </c>
      <c r="J27" s="10">
        <f>SUMIFS($I$5:$I$265,$A$5:$A$265,A27)</f>
        <v/>
      </c>
      <c r="K27" s="20">
        <f>IF(J27=0,0,'تنظیمات'!$B$7*INT(F27*I27/(J27*'تنظیمات'!$B$7)))</f>
        <v/>
      </c>
      <c r="L27" s="10">
        <f>IF(J27=0,0,F27*I27-J27*'تنظیمات'!$B$7*INT(F27*I27/(J27*'تنظیمات'!$B$7)))</f>
        <v/>
      </c>
      <c r="M27" s="10">
        <f>1+COUNTIFS($A$5:$A$265,A27,$L$5:$L$265,"&gt;"&amp;L27)+COUNTIFS($A$5:$A$265,A27,$L$5:$L$265,L27,$D$5:$D$265,"&lt;"&amp;D27)</f>
        <v/>
      </c>
      <c r="N27" s="20">
        <f>IF(J27=0,0,F27-SUMIFS($K$5:$K$265,$A$5:$A$265,A27))</f>
        <v/>
      </c>
      <c r="O27" s="10">
        <f>INT(N27/'تنظیمات'!$B$7)</f>
        <v/>
      </c>
      <c r="P27" s="10">
        <f>N27-O27*'تنظیمات'!$B$7</f>
        <v/>
      </c>
      <c r="Q27" s="20">
        <f>IF(J27=0,0,K27+IF(M27&lt;=O27,'تنظیمات'!$B$7,0)+IF(M27=1,P27,0))</f>
        <v/>
      </c>
      <c r="R27" s="22">
        <f>'سطرهای تسهیم'!F7</f>
        <v/>
      </c>
      <c r="S27" s="22">
        <f>'سطرهای تسهیم'!G7</f>
        <v/>
      </c>
      <c r="T27" s="4">
        <f>IFERROR(INDEX('دسته‌ها'!$D$5:$D$25,MATCH(S27,'دسته‌ها'!$A$5:$A$25,0)),"خیر")</f>
        <v/>
      </c>
    </row>
    <row r="28">
      <c r="A28" s="22">
        <f>'سطرهای تسهیم'!A7</f>
        <v/>
      </c>
      <c r="B28" s="22">
        <f>'سطرهای تسهیم'!B7</f>
        <v/>
      </c>
      <c r="C28" s="22">
        <f>'واحدها'!A10</f>
        <v/>
      </c>
      <c r="D28" s="12">
        <f>'واحدها'!H10</f>
        <v/>
      </c>
      <c r="E28" s="22">
        <f>'سطرهای تسهیم'!D7</f>
        <v/>
      </c>
      <c r="F28" s="19">
        <f>'سطرهای تسهیم'!E7</f>
        <v/>
      </c>
      <c r="G28" s="12">
        <f>IF('واحدها'!F10="بله",'شمول'!G6,0)</f>
        <v/>
      </c>
      <c r="H28" s="10">
        <f>CHOOSE(MATCH(E28,'فهرست‌ها'!$A$4:$A$13,0),1,'واحدها'!E10,'واحدها'!D10*100,'واحدها'!J10,'واحدها'!J10,'وزن‌ها'!G6,'وزن‌ها'!G6,'واحدها'!K10,'واحدها'!L10,0)</f>
        <v/>
      </c>
      <c r="I28" s="10">
        <f>G28*H28</f>
        <v/>
      </c>
      <c r="J28" s="10">
        <f>SUMIFS($I$5:$I$265,$A$5:$A$265,A28)</f>
        <v/>
      </c>
      <c r="K28" s="20">
        <f>IF(J28=0,0,'تنظیمات'!$B$7*INT(F28*I28/(J28*'تنظیمات'!$B$7)))</f>
        <v/>
      </c>
      <c r="L28" s="10">
        <f>IF(J28=0,0,F28*I28-J28*'تنظیمات'!$B$7*INT(F28*I28/(J28*'تنظیمات'!$B$7)))</f>
        <v/>
      </c>
      <c r="M28" s="10">
        <f>1+COUNTIFS($A$5:$A$265,A28,$L$5:$L$265,"&gt;"&amp;L28)+COUNTIFS($A$5:$A$265,A28,$L$5:$L$265,L28,$D$5:$D$265,"&lt;"&amp;D28)</f>
        <v/>
      </c>
      <c r="N28" s="20">
        <f>IF(J28=0,0,F28-SUMIFS($K$5:$K$265,$A$5:$A$265,A28))</f>
        <v/>
      </c>
      <c r="O28" s="10">
        <f>INT(N28/'تنظیمات'!$B$7)</f>
        <v/>
      </c>
      <c r="P28" s="10">
        <f>N28-O28*'تنظیمات'!$B$7</f>
        <v/>
      </c>
      <c r="Q28" s="20">
        <f>IF(J28=0,0,K28+IF(M28&lt;=O28,'تنظیمات'!$B$7,0)+IF(M28=1,P28,0))</f>
        <v/>
      </c>
      <c r="R28" s="22">
        <f>'سطرهای تسهیم'!F7</f>
        <v/>
      </c>
      <c r="S28" s="22">
        <f>'سطرهای تسهیم'!G7</f>
        <v/>
      </c>
      <c r="T28" s="4">
        <f>IFERROR(INDEX('دسته‌ها'!$D$5:$D$25,MATCH(S28,'دسته‌ها'!$A$5:$A$25,0)),"خیر")</f>
        <v/>
      </c>
    </row>
    <row r="29">
      <c r="A29" s="22">
        <f>'سطرهای تسهیم'!A7</f>
        <v/>
      </c>
      <c r="B29" s="22">
        <f>'سطرهای تسهیم'!B7</f>
        <v/>
      </c>
      <c r="C29" s="22">
        <f>'واحدها'!A11</f>
        <v/>
      </c>
      <c r="D29" s="12">
        <f>'واحدها'!H11</f>
        <v/>
      </c>
      <c r="E29" s="22">
        <f>'سطرهای تسهیم'!D7</f>
        <v/>
      </c>
      <c r="F29" s="19">
        <f>'سطرهای تسهیم'!E7</f>
        <v/>
      </c>
      <c r="G29" s="12">
        <f>IF('واحدها'!F11="بله",'شمول'!H6,0)</f>
        <v/>
      </c>
      <c r="H29" s="10">
        <f>CHOOSE(MATCH(E29,'فهرست‌ها'!$A$4:$A$13,0),1,'واحدها'!E11,'واحدها'!D11*100,'واحدها'!J11,'واحدها'!J11,'وزن‌ها'!H6,'وزن‌ها'!H6,'واحدها'!K11,'واحدها'!L11,0)</f>
        <v/>
      </c>
      <c r="I29" s="10">
        <f>G29*H29</f>
        <v/>
      </c>
      <c r="J29" s="10">
        <f>SUMIFS($I$5:$I$265,$A$5:$A$265,A29)</f>
        <v/>
      </c>
      <c r="K29" s="20">
        <f>IF(J29=0,0,'تنظیمات'!$B$7*INT(F29*I29/(J29*'تنظیمات'!$B$7)))</f>
        <v/>
      </c>
      <c r="L29" s="10">
        <f>IF(J29=0,0,F29*I29-J29*'تنظیمات'!$B$7*INT(F29*I29/(J29*'تنظیمات'!$B$7)))</f>
        <v/>
      </c>
      <c r="M29" s="10">
        <f>1+COUNTIFS($A$5:$A$265,A29,$L$5:$L$265,"&gt;"&amp;L29)+COUNTIFS($A$5:$A$265,A29,$L$5:$L$265,L29,$D$5:$D$265,"&lt;"&amp;D29)</f>
        <v/>
      </c>
      <c r="N29" s="20">
        <f>IF(J29=0,0,F29-SUMIFS($K$5:$K$265,$A$5:$A$265,A29))</f>
        <v/>
      </c>
      <c r="O29" s="10">
        <f>INT(N29/'تنظیمات'!$B$7)</f>
        <v/>
      </c>
      <c r="P29" s="10">
        <f>N29-O29*'تنظیمات'!$B$7</f>
        <v/>
      </c>
      <c r="Q29" s="20">
        <f>IF(J29=0,0,K29+IF(M29&lt;=O29,'تنظیمات'!$B$7,0)+IF(M29=1,P29,0))</f>
        <v/>
      </c>
      <c r="R29" s="22">
        <f>'سطرهای تسهیم'!F7</f>
        <v/>
      </c>
      <c r="S29" s="22">
        <f>'سطرهای تسهیم'!G7</f>
        <v/>
      </c>
      <c r="T29" s="4">
        <f>IFERROR(INDEX('دسته‌ها'!$D$5:$D$25,MATCH(S29,'دسته‌ها'!$A$5:$A$25,0)),"خیر")</f>
        <v/>
      </c>
    </row>
    <row r="30">
      <c r="A30" s="22">
        <f>'سطرهای تسهیم'!A7</f>
        <v/>
      </c>
      <c r="B30" s="22">
        <f>'سطرهای تسهیم'!B7</f>
        <v/>
      </c>
      <c r="C30" s="22">
        <f>'واحدها'!A12</f>
        <v/>
      </c>
      <c r="D30" s="12">
        <f>'واحدها'!H12</f>
        <v/>
      </c>
      <c r="E30" s="22">
        <f>'سطرهای تسهیم'!D7</f>
        <v/>
      </c>
      <c r="F30" s="19">
        <f>'سطرهای تسهیم'!E7</f>
        <v/>
      </c>
      <c r="G30" s="12">
        <f>IF('واحدها'!F12="بله",'شمول'!I6,0)</f>
        <v/>
      </c>
      <c r="H30" s="10">
        <f>CHOOSE(MATCH(E30,'فهرست‌ها'!$A$4:$A$13,0),1,'واحدها'!E12,'واحدها'!D12*100,'واحدها'!J12,'واحدها'!J12,'وزن‌ها'!I6,'وزن‌ها'!I6,'واحدها'!K12,'واحدها'!L12,0)</f>
        <v/>
      </c>
      <c r="I30" s="10">
        <f>G30*H30</f>
        <v/>
      </c>
      <c r="J30" s="10">
        <f>SUMIFS($I$5:$I$265,$A$5:$A$265,A30)</f>
        <v/>
      </c>
      <c r="K30" s="20">
        <f>IF(J30=0,0,'تنظیمات'!$B$7*INT(F30*I30/(J30*'تنظیمات'!$B$7)))</f>
        <v/>
      </c>
      <c r="L30" s="10">
        <f>IF(J30=0,0,F30*I30-J30*'تنظیمات'!$B$7*INT(F30*I30/(J30*'تنظیمات'!$B$7)))</f>
        <v/>
      </c>
      <c r="M30" s="10">
        <f>1+COUNTIFS($A$5:$A$265,A30,$L$5:$L$265,"&gt;"&amp;L30)+COUNTIFS($A$5:$A$265,A30,$L$5:$L$265,L30,$D$5:$D$265,"&lt;"&amp;D30)</f>
        <v/>
      </c>
      <c r="N30" s="20">
        <f>IF(J30=0,0,F30-SUMIFS($K$5:$K$265,$A$5:$A$265,A30))</f>
        <v/>
      </c>
      <c r="O30" s="10">
        <f>INT(N30/'تنظیمات'!$B$7)</f>
        <v/>
      </c>
      <c r="P30" s="10">
        <f>N30-O30*'تنظیمات'!$B$7</f>
        <v/>
      </c>
      <c r="Q30" s="20">
        <f>IF(J30=0,0,K30+IF(M30&lt;=O30,'تنظیمات'!$B$7,0)+IF(M30=1,P30,0))</f>
        <v/>
      </c>
      <c r="R30" s="22">
        <f>'سطرهای تسهیم'!F7</f>
        <v/>
      </c>
      <c r="S30" s="22">
        <f>'سطرهای تسهیم'!G7</f>
        <v/>
      </c>
      <c r="T30" s="4">
        <f>IFERROR(INDEX('دسته‌ها'!$D$5:$D$25,MATCH(S30,'دسته‌ها'!$A$5:$A$25,0)),"خیر")</f>
        <v/>
      </c>
    </row>
    <row r="31">
      <c r="A31" s="22">
        <f>'سطرهای تسهیم'!A7</f>
        <v/>
      </c>
      <c r="B31" s="22">
        <f>'سطرهای تسهیم'!B7</f>
        <v/>
      </c>
      <c r="C31" s="22">
        <f>'واحدها'!A13</f>
        <v/>
      </c>
      <c r="D31" s="12">
        <f>'واحدها'!H13</f>
        <v/>
      </c>
      <c r="E31" s="22">
        <f>'سطرهای تسهیم'!D7</f>
        <v/>
      </c>
      <c r="F31" s="19">
        <f>'سطرهای تسهیم'!E7</f>
        <v/>
      </c>
      <c r="G31" s="12">
        <f>IF('واحدها'!F13="بله",'شمول'!J6,0)</f>
        <v/>
      </c>
      <c r="H31" s="10">
        <f>CHOOSE(MATCH(E31,'فهرست‌ها'!$A$4:$A$13,0),1,'واحدها'!E13,'واحدها'!D13*100,'واحدها'!J13,'واحدها'!J13,'وزن‌ها'!J6,'وزن‌ها'!J6,'واحدها'!K13,'واحدها'!L13,0)</f>
        <v/>
      </c>
      <c r="I31" s="10">
        <f>G31*H31</f>
        <v/>
      </c>
      <c r="J31" s="10">
        <f>SUMIFS($I$5:$I$265,$A$5:$A$265,A31)</f>
        <v/>
      </c>
      <c r="K31" s="20">
        <f>IF(J31=0,0,'تنظیمات'!$B$7*INT(F31*I31/(J31*'تنظیمات'!$B$7)))</f>
        <v/>
      </c>
      <c r="L31" s="10">
        <f>IF(J31=0,0,F31*I31-J31*'تنظیمات'!$B$7*INT(F31*I31/(J31*'تنظیمات'!$B$7)))</f>
        <v/>
      </c>
      <c r="M31" s="10">
        <f>1+COUNTIFS($A$5:$A$265,A31,$L$5:$L$265,"&gt;"&amp;L31)+COUNTIFS($A$5:$A$265,A31,$L$5:$L$265,L31,$D$5:$D$265,"&lt;"&amp;D31)</f>
        <v/>
      </c>
      <c r="N31" s="20">
        <f>IF(J31=0,0,F31-SUMIFS($K$5:$K$265,$A$5:$A$265,A31))</f>
        <v/>
      </c>
      <c r="O31" s="10">
        <f>INT(N31/'تنظیمات'!$B$7)</f>
        <v/>
      </c>
      <c r="P31" s="10">
        <f>N31-O31*'تنظیمات'!$B$7</f>
        <v/>
      </c>
      <c r="Q31" s="20">
        <f>IF(J31=0,0,K31+IF(M31&lt;=O31,'تنظیمات'!$B$7,0)+IF(M31=1,P31,0))</f>
        <v/>
      </c>
      <c r="R31" s="22">
        <f>'سطرهای تسهیم'!F7</f>
        <v/>
      </c>
      <c r="S31" s="22">
        <f>'سطرهای تسهیم'!G7</f>
        <v/>
      </c>
      <c r="T31" s="4">
        <f>IFERROR(INDEX('دسته‌ها'!$D$5:$D$25,MATCH(S31,'دسته‌ها'!$A$5:$A$25,0)),"خیر")</f>
        <v/>
      </c>
    </row>
    <row r="32">
      <c r="A32" s="22">
        <f>'سطرهای تسهیم'!A8</f>
        <v/>
      </c>
      <c r="B32" s="22">
        <f>'سطرهای تسهیم'!B8</f>
        <v/>
      </c>
      <c r="C32" s="22">
        <f>'واحدها'!A5</f>
        <v/>
      </c>
      <c r="D32" s="12">
        <f>'واحدها'!H5</f>
        <v/>
      </c>
      <c r="E32" s="22">
        <f>'سطرهای تسهیم'!D8</f>
        <v/>
      </c>
      <c r="F32" s="19">
        <f>'سطرهای تسهیم'!E8</f>
        <v/>
      </c>
      <c r="G32" s="12">
        <f>IF('واحدها'!F5="بله",'شمول'!B6,0)</f>
        <v/>
      </c>
      <c r="H32" s="10">
        <f>CHOOSE(MATCH(E32,'فهرست‌ها'!$A$4:$A$13,0),1,'واحدها'!E5,'واحدها'!D5*100,'واحدها'!J5,'واحدها'!J5,'وزن‌ها'!B6,'وزن‌ها'!B6,'واحدها'!K5,'واحدها'!L5,0)</f>
        <v/>
      </c>
      <c r="I32" s="10">
        <f>G32*H32</f>
        <v/>
      </c>
      <c r="J32" s="10">
        <f>SUMIFS($I$5:$I$265,$A$5:$A$265,A32)</f>
        <v/>
      </c>
      <c r="K32" s="20">
        <f>IF(J32=0,0,'تنظیمات'!$B$7*INT(F32*I32/(J32*'تنظیمات'!$B$7)))</f>
        <v/>
      </c>
      <c r="L32" s="10">
        <f>IF(J32=0,0,F32*I32-J32*'تنظیمات'!$B$7*INT(F32*I32/(J32*'تنظیمات'!$B$7)))</f>
        <v/>
      </c>
      <c r="M32" s="10">
        <f>1+COUNTIFS($A$5:$A$265,A32,$L$5:$L$265,"&gt;"&amp;L32)+COUNTIFS($A$5:$A$265,A32,$L$5:$L$265,L32,$D$5:$D$265,"&lt;"&amp;D32)</f>
        <v/>
      </c>
      <c r="N32" s="20">
        <f>IF(J32=0,0,F32-SUMIFS($K$5:$K$265,$A$5:$A$265,A32))</f>
        <v/>
      </c>
      <c r="O32" s="10">
        <f>INT(N32/'تنظیمات'!$B$7)</f>
        <v/>
      </c>
      <c r="P32" s="10">
        <f>N32-O32*'تنظیمات'!$B$7</f>
        <v/>
      </c>
      <c r="Q32" s="20">
        <f>IF(J32=0,0,K32+IF(M32&lt;=O32,'تنظیمات'!$B$7,0)+IF(M32=1,P32,0))</f>
        <v/>
      </c>
      <c r="R32" s="22">
        <f>'سطرهای تسهیم'!F8</f>
        <v/>
      </c>
      <c r="S32" s="22">
        <f>'سطرهای تسهیم'!G8</f>
        <v/>
      </c>
      <c r="T32" s="4">
        <f>IFERROR(INDEX('دسته‌ها'!$D$5:$D$25,MATCH(S32,'دسته‌ها'!$A$5:$A$25,0)),"خیر")</f>
        <v/>
      </c>
    </row>
    <row r="33">
      <c r="A33" s="22">
        <f>'سطرهای تسهیم'!A8</f>
        <v/>
      </c>
      <c r="B33" s="22">
        <f>'سطرهای تسهیم'!B8</f>
        <v/>
      </c>
      <c r="C33" s="22">
        <f>'واحدها'!A6</f>
        <v/>
      </c>
      <c r="D33" s="12">
        <f>'واحدها'!H6</f>
        <v/>
      </c>
      <c r="E33" s="22">
        <f>'سطرهای تسهیم'!D8</f>
        <v/>
      </c>
      <c r="F33" s="19">
        <f>'سطرهای تسهیم'!E8</f>
        <v/>
      </c>
      <c r="G33" s="12">
        <f>IF('واحدها'!F6="بله",'شمول'!C6,0)</f>
        <v/>
      </c>
      <c r="H33" s="10">
        <f>CHOOSE(MATCH(E33,'فهرست‌ها'!$A$4:$A$13,0),1,'واحدها'!E6,'واحدها'!D6*100,'واحدها'!J6,'واحدها'!J6,'وزن‌ها'!C6,'وزن‌ها'!C6,'واحدها'!K6,'واحدها'!L6,0)</f>
        <v/>
      </c>
      <c r="I33" s="10">
        <f>G33*H33</f>
        <v/>
      </c>
      <c r="J33" s="10">
        <f>SUMIFS($I$5:$I$265,$A$5:$A$265,A33)</f>
        <v/>
      </c>
      <c r="K33" s="20">
        <f>IF(J33=0,0,'تنظیمات'!$B$7*INT(F33*I33/(J33*'تنظیمات'!$B$7)))</f>
        <v/>
      </c>
      <c r="L33" s="10">
        <f>IF(J33=0,0,F33*I33-J33*'تنظیمات'!$B$7*INT(F33*I33/(J33*'تنظیمات'!$B$7)))</f>
        <v/>
      </c>
      <c r="M33" s="10">
        <f>1+COUNTIFS($A$5:$A$265,A33,$L$5:$L$265,"&gt;"&amp;L33)+COUNTIFS($A$5:$A$265,A33,$L$5:$L$265,L33,$D$5:$D$265,"&lt;"&amp;D33)</f>
        <v/>
      </c>
      <c r="N33" s="20">
        <f>IF(J33=0,0,F33-SUMIFS($K$5:$K$265,$A$5:$A$265,A33))</f>
        <v/>
      </c>
      <c r="O33" s="10">
        <f>INT(N33/'تنظیمات'!$B$7)</f>
        <v/>
      </c>
      <c r="P33" s="10">
        <f>N33-O33*'تنظیمات'!$B$7</f>
        <v/>
      </c>
      <c r="Q33" s="20">
        <f>IF(J33=0,0,K33+IF(M33&lt;=O33,'تنظیمات'!$B$7,0)+IF(M33=1,P33,0))</f>
        <v/>
      </c>
      <c r="R33" s="22">
        <f>'سطرهای تسهیم'!F8</f>
        <v/>
      </c>
      <c r="S33" s="22">
        <f>'سطرهای تسهیم'!G8</f>
        <v/>
      </c>
      <c r="T33" s="4">
        <f>IFERROR(INDEX('دسته‌ها'!$D$5:$D$25,MATCH(S33,'دسته‌ها'!$A$5:$A$25,0)),"خیر")</f>
        <v/>
      </c>
    </row>
    <row r="34">
      <c r="A34" s="22">
        <f>'سطرهای تسهیم'!A8</f>
        <v/>
      </c>
      <c r="B34" s="22">
        <f>'سطرهای تسهیم'!B8</f>
        <v/>
      </c>
      <c r="C34" s="22">
        <f>'واحدها'!A7</f>
        <v/>
      </c>
      <c r="D34" s="12">
        <f>'واحدها'!H7</f>
        <v/>
      </c>
      <c r="E34" s="22">
        <f>'سطرهای تسهیم'!D8</f>
        <v/>
      </c>
      <c r="F34" s="19">
        <f>'سطرهای تسهیم'!E8</f>
        <v/>
      </c>
      <c r="G34" s="12">
        <f>IF('واحدها'!F7="بله",'شمول'!D6,0)</f>
        <v/>
      </c>
      <c r="H34" s="10">
        <f>CHOOSE(MATCH(E34,'فهرست‌ها'!$A$4:$A$13,0),1,'واحدها'!E7,'واحدها'!D7*100,'واحدها'!J7,'واحدها'!J7,'وزن‌ها'!D6,'وزن‌ها'!D6,'واحدها'!K7,'واحدها'!L7,0)</f>
        <v/>
      </c>
      <c r="I34" s="10">
        <f>G34*H34</f>
        <v/>
      </c>
      <c r="J34" s="10">
        <f>SUMIFS($I$5:$I$265,$A$5:$A$265,A34)</f>
        <v/>
      </c>
      <c r="K34" s="20">
        <f>IF(J34=0,0,'تنظیمات'!$B$7*INT(F34*I34/(J34*'تنظیمات'!$B$7)))</f>
        <v/>
      </c>
      <c r="L34" s="10">
        <f>IF(J34=0,0,F34*I34-J34*'تنظیمات'!$B$7*INT(F34*I34/(J34*'تنظیمات'!$B$7)))</f>
        <v/>
      </c>
      <c r="M34" s="10">
        <f>1+COUNTIFS($A$5:$A$265,A34,$L$5:$L$265,"&gt;"&amp;L34)+COUNTIFS($A$5:$A$265,A34,$L$5:$L$265,L34,$D$5:$D$265,"&lt;"&amp;D34)</f>
        <v/>
      </c>
      <c r="N34" s="20">
        <f>IF(J34=0,0,F34-SUMIFS($K$5:$K$265,$A$5:$A$265,A34))</f>
        <v/>
      </c>
      <c r="O34" s="10">
        <f>INT(N34/'تنظیمات'!$B$7)</f>
        <v/>
      </c>
      <c r="P34" s="10">
        <f>N34-O34*'تنظیمات'!$B$7</f>
        <v/>
      </c>
      <c r="Q34" s="20">
        <f>IF(J34=0,0,K34+IF(M34&lt;=O34,'تنظیمات'!$B$7,0)+IF(M34=1,P34,0))</f>
        <v/>
      </c>
      <c r="R34" s="22">
        <f>'سطرهای تسهیم'!F8</f>
        <v/>
      </c>
      <c r="S34" s="22">
        <f>'سطرهای تسهیم'!G8</f>
        <v/>
      </c>
      <c r="T34" s="4">
        <f>IFERROR(INDEX('دسته‌ها'!$D$5:$D$25,MATCH(S34,'دسته‌ها'!$A$5:$A$25,0)),"خیر")</f>
        <v/>
      </c>
    </row>
    <row r="35">
      <c r="A35" s="22">
        <f>'سطرهای تسهیم'!A8</f>
        <v/>
      </c>
      <c r="B35" s="22">
        <f>'سطرهای تسهیم'!B8</f>
        <v/>
      </c>
      <c r="C35" s="22">
        <f>'واحدها'!A8</f>
        <v/>
      </c>
      <c r="D35" s="12">
        <f>'واحدها'!H8</f>
        <v/>
      </c>
      <c r="E35" s="22">
        <f>'سطرهای تسهیم'!D8</f>
        <v/>
      </c>
      <c r="F35" s="19">
        <f>'سطرهای تسهیم'!E8</f>
        <v/>
      </c>
      <c r="G35" s="12">
        <f>IF('واحدها'!F8="بله",'شمول'!E6,0)</f>
        <v/>
      </c>
      <c r="H35" s="10">
        <f>CHOOSE(MATCH(E35,'فهرست‌ها'!$A$4:$A$13,0),1,'واحدها'!E8,'واحدها'!D8*100,'واحدها'!J8,'واحدها'!J8,'وزن‌ها'!E6,'وزن‌ها'!E6,'واحدها'!K8,'واحدها'!L8,0)</f>
        <v/>
      </c>
      <c r="I35" s="10">
        <f>G35*H35</f>
        <v/>
      </c>
      <c r="J35" s="10">
        <f>SUMIFS($I$5:$I$265,$A$5:$A$265,A35)</f>
        <v/>
      </c>
      <c r="K35" s="20">
        <f>IF(J35=0,0,'تنظیمات'!$B$7*INT(F35*I35/(J35*'تنظیمات'!$B$7)))</f>
        <v/>
      </c>
      <c r="L35" s="10">
        <f>IF(J35=0,0,F35*I35-J35*'تنظیمات'!$B$7*INT(F35*I35/(J35*'تنظیمات'!$B$7)))</f>
        <v/>
      </c>
      <c r="M35" s="10">
        <f>1+COUNTIFS($A$5:$A$265,A35,$L$5:$L$265,"&gt;"&amp;L35)+COUNTIFS($A$5:$A$265,A35,$L$5:$L$265,L35,$D$5:$D$265,"&lt;"&amp;D35)</f>
        <v/>
      </c>
      <c r="N35" s="20">
        <f>IF(J35=0,0,F35-SUMIFS($K$5:$K$265,$A$5:$A$265,A35))</f>
        <v/>
      </c>
      <c r="O35" s="10">
        <f>INT(N35/'تنظیمات'!$B$7)</f>
        <v/>
      </c>
      <c r="P35" s="10">
        <f>N35-O35*'تنظیمات'!$B$7</f>
        <v/>
      </c>
      <c r="Q35" s="20">
        <f>IF(J35=0,0,K35+IF(M35&lt;=O35,'تنظیمات'!$B$7,0)+IF(M35=1,P35,0))</f>
        <v/>
      </c>
      <c r="R35" s="22">
        <f>'سطرهای تسهیم'!F8</f>
        <v/>
      </c>
      <c r="S35" s="22">
        <f>'سطرهای تسهیم'!G8</f>
        <v/>
      </c>
      <c r="T35" s="4">
        <f>IFERROR(INDEX('دسته‌ها'!$D$5:$D$25,MATCH(S35,'دسته‌ها'!$A$5:$A$25,0)),"خیر")</f>
        <v/>
      </c>
    </row>
    <row r="36">
      <c r="A36" s="22">
        <f>'سطرهای تسهیم'!A8</f>
        <v/>
      </c>
      <c r="B36" s="22">
        <f>'سطرهای تسهیم'!B8</f>
        <v/>
      </c>
      <c r="C36" s="22">
        <f>'واحدها'!A9</f>
        <v/>
      </c>
      <c r="D36" s="12">
        <f>'واحدها'!H9</f>
        <v/>
      </c>
      <c r="E36" s="22">
        <f>'سطرهای تسهیم'!D8</f>
        <v/>
      </c>
      <c r="F36" s="19">
        <f>'سطرهای تسهیم'!E8</f>
        <v/>
      </c>
      <c r="G36" s="12">
        <f>IF('واحدها'!F9="بله",'شمول'!F6,0)</f>
        <v/>
      </c>
      <c r="H36" s="10">
        <f>CHOOSE(MATCH(E36,'فهرست‌ها'!$A$4:$A$13,0),1,'واحدها'!E9,'واحدها'!D9*100,'واحدها'!J9,'واحدها'!J9,'وزن‌ها'!F6,'وزن‌ها'!F6,'واحدها'!K9,'واحدها'!L9,0)</f>
        <v/>
      </c>
      <c r="I36" s="10">
        <f>G36*H36</f>
        <v/>
      </c>
      <c r="J36" s="10">
        <f>SUMIFS($I$5:$I$265,$A$5:$A$265,A36)</f>
        <v/>
      </c>
      <c r="K36" s="20">
        <f>IF(J36=0,0,'تنظیمات'!$B$7*INT(F36*I36/(J36*'تنظیمات'!$B$7)))</f>
        <v/>
      </c>
      <c r="L36" s="10">
        <f>IF(J36=0,0,F36*I36-J36*'تنظیمات'!$B$7*INT(F36*I36/(J36*'تنظیمات'!$B$7)))</f>
        <v/>
      </c>
      <c r="M36" s="10">
        <f>1+COUNTIFS($A$5:$A$265,A36,$L$5:$L$265,"&gt;"&amp;L36)+COUNTIFS($A$5:$A$265,A36,$L$5:$L$265,L36,$D$5:$D$265,"&lt;"&amp;D36)</f>
        <v/>
      </c>
      <c r="N36" s="20">
        <f>IF(J36=0,0,F36-SUMIFS($K$5:$K$265,$A$5:$A$265,A36))</f>
        <v/>
      </c>
      <c r="O36" s="10">
        <f>INT(N36/'تنظیمات'!$B$7)</f>
        <v/>
      </c>
      <c r="P36" s="10">
        <f>N36-O36*'تنظیمات'!$B$7</f>
        <v/>
      </c>
      <c r="Q36" s="20">
        <f>IF(J36=0,0,K36+IF(M36&lt;=O36,'تنظیمات'!$B$7,0)+IF(M36=1,P36,0))</f>
        <v/>
      </c>
      <c r="R36" s="22">
        <f>'سطرهای تسهیم'!F8</f>
        <v/>
      </c>
      <c r="S36" s="22">
        <f>'سطرهای تسهیم'!G8</f>
        <v/>
      </c>
      <c r="T36" s="4">
        <f>IFERROR(INDEX('دسته‌ها'!$D$5:$D$25,MATCH(S36,'دسته‌ها'!$A$5:$A$25,0)),"خیر")</f>
        <v/>
      </c>
    </row>
    <row r="37">
      <c r="A37" s="22">
        <f>'سطرهای تسهیم'!A8</f>
        <v/>
      </c>
      <c r="B37" s="22">
        <f>'سطرهای تسهیم'!B8</f>
        <v/>
      </c>
      <c r="C37" s="22">
        <f>'واحدها'!A10</f>
        <v/>
      </c>
      <c r="D37" s="12">
        <f>'واحدها'!H10</f>
        <v/>
      </c>
      <c r="E37" s="22">
        <f>'سطرهای تسهیم'!D8</f>
        <v/>
      </c>
      <c r="F37" s="19">
        <f>'سطرهای تسهیم'!E8</f>
        <v/>
      </c>
      <c r="G37" s="12">
        <f>IF('واحدها'!F10="بله",'شمول'!G6,0)</f>
        <v/>
      </c>
      <c r="H37" s="10">
        <f>CHOOSE(MATCH(E37,'فهرست‌ها'!$A$4:$A$13,0),1,'واحدها'!E10,'واحدها'!D10*100,'واحدها'!J10,'واحدها'!J10,'وزن‌ها'!G6,'وزن‌ها'!G6,'واحدها'!K10,'واحدها'!L10,0)</f>
        <v/>
      </c>
      <c r="I37" s="10">
        <f>G37*H37</f>
        <v/>
      </c>
      <c r="J37" s="10">
        <f>SUMIFS($I$5:$I$265,$A$5:$A$265,A37)</f>
        <v/>
      </c>
      <c r="K37" s="20">
        <f>IF(J37=0,0,'تنظیمات'!$B$7*INT(F37*I37/(J37*'تنظیمات'!$B$7)))</f>
        <v/>
      </c>
      <c r="L37" s="10">
        <f>IF(J37=0,0,F37*I37-J37*'تنظیمات'!$B$7*INT(F37*I37/(J37*'تنظیمات'!$B$7)))</f>
        <v/>
      </c>
      <c r="M37" s="10">
        <f>1+COUNTIFS($A$5:$A$265,A37,$L$5:$L$265,"&gt;"&amp;L37)+COUNTIFS($A$5:$A$265,A37,$L$5:$L$265,L37,$D$5:$D$265,"&lt;"&amp;D37)</f>
        <v/>
      </c>
      <c r="N37" s="20">
        <f>IF(J37=0,0,F37-SUMIFS($K$5:$K$265,$A$5:$A$265,A37))</f>
        <v/>
      </c>
      <c r="O37" s="10">
        <f>INT(N37/'تنظیمات'!$B$7)</f>
        <v/>
      </c>
      <c r="P37" s="10">
        <f>N37-O37*'تنظیمات'!$B$7</f>
        <v/>
      </c>
      <c r="Q37" s="20">
        <f>IF(J37=0,0,K37+IF(M37&lt;=O37,'تنظیمات'!$B$7,0)+IF(M37=1,P37,0))</f>
        <v/>
      </c>
      <c r="R37" s="22">
        <f>'سطرهای تسهیم'!F8</f>
        <v/>
      </c>
      <c r="S37" s="22">
        <f>'سطرهای تسهیم'!G8</f>
        <v/>
      </c>
      <c r="T37" s="4">
        <f>IFERROR(INDEX('دسته‌ها'!$D$5:$D$25,MATCH(S37,'دسته‌ها'!$A$5:$A$25,0)),"خیر")</f>
        <v/>
      </c>
    </row>
    <row r="38">
      <c r="A38" s="22">
        <f>'سطرهای تسهیم'!A8</f>
        <v/>
      </c>
      <c r="B38" s="22">
        <f>'سطرهای تسهیم'!B8</f>
        <v/>
      </c>
      <c r="C38" s="22">
        <f>'واحدها'!A11</f>
        <v/>
      </c>
      <c r="D38" s="12">
        <f>'واحدها'!H11</f>
        <v/>
      </c>
      <c r="E38" s="22">
        <f>'سطرهای تسهیم'!D8</f>
        <v/>
      </c>
      <c r="F38" s="19">
        <f>'سطرهای تسهیم'!E8</f>
        <v/>
      </c>
      <c r="G38" s="12">
        <f>IF('واحدها'!F11="بله",'شمول'!H6,0)</f>
        <v/>
      </c>
      <c r="H38" s="10">
        <f>CHOOSE(MATCH(E38,'فهرست‌ها'!$A$4:$A$13,0),1,'واحدها'!E11,'واحدها'!D11*100,'واحدها'!J11,'واحدها'!J11,'وزن‌ها'!H6,'وزن‌ها'!H6,'واحدها'!K11,'واحدها'!L11,0)</f>
        <v/>
      </c>
      <c r="I38" s="10">
        <f>G38*H38</f>
        <v/>
      </c>
      <c r="J38" s="10">
        <f>SUMIFS($I$5:$I$265,$A$5:$A$265,A38)</f>
        <v/>
      </c>
      <c r="K38" s="20">
        <f>IF(J38=0,0,'تنظیمات'!$B$7*INT(F38*I38/(J38*'تنظیمات'!$B$7)))</f>
        <v/>
      </c>
      <c r="L38" s="10">
        <f>IF(J38=0,0,F38*I38-J38*'تنظیمات'!$B$7*INT(F38*I38/(J38*'تنظیمات'!$B$7)))</f>
        <v/>
      </c>
      <c r="M38" s="10">
        <f>1+COUNTIFS($A$5:$A$265,A38,$L$5:$L$265,"&gt;"&amp;L38)+COUNTIFS($A$5:$A$265,A38,$L$5:$L$265,L38,$D$5:$D$265,"&lt;"&amp;D38)</f>
        <v/>
      </c>
      <c r="N38" s="20">
        <f>IF(J38=0,0,F38-SUMIFS($K$5:$K$265,$A$5:$A$265,A38))</f>
        <v/>
      </c>
      <c r="O38" s="10">
        <f>INT(N38/'تنظیمات'!$B$7)</f>
        <v/>
      </c>
      <c r="P38" s="10">
        <f>N38-O38*'تنظیمات'!$B$7</f>
        <v/>
      </c>
      <c r="Q38" s="20">
        <f>IF(J38=0,0,K38+IF(M38&lt;=O38,'تنظیمات'!$B$7,0)+IF(M38=1,P38,0))</f>
        <v/>
      </c>
      <c r="R38" s="22">
        <f>'سطرهای تسهیم'!F8</f>
        <v/>
      </c>
      <c r="S38" s="22">
        <f>'سطرهای تسهیم'!G8</f>
        <v/>
      </c>
      <c r="T38" s="4">
        <f>IFERROR(INDEX('دسته‌ها'!$D$5:$D$25,MATCH(S38,'دسته‌ها'!$A$5:$A$25,0)),"خیر")</f>
        <v/>
      </c>
    </row>
    <row r="39">
      <c r="A39" s="22">
        <f>'سطرهای تسهیم'!A8</f>
        <v/>
      </c>
      <c r="B39" s="22">
        <f>'سطرهای تسهیم'!B8</f>
        <v/>
      </c>
      <c r="C39" s="22">
        <f>'واحدها'!A12</f>
        <v/>
      </c>
      <c r="D39" s="12">
        <f>'واحدها'!H12</f>
        <v/>
      </c>
      <c r="E39" s="22">
        <f>'سطرهای تسهیم'!D8</f>
        <v/>
      </c>
      <c r="F39" s="19">
        <f>'سطرهای تسهیم'!E8</f>
        <v/>
      </c>
      <c r="G39" s="12">
        <f>IF('واحدها'!F12="بله",'شمول'!I6,0)</f>
        <v/>
      </c>
      <c r="H39" s="10">
        <f>CHOOSE(MATCH(E39,'فهرست‌ها'!$A$4:$A$13,0),1,'واحدها'!E12,'واحدها'!D12*100,'واحدها'!J12,'واحدها'!J12,'وزن‌ها'!I6,'وزن‌ها'!I6,'واحدها'!K12,'واحدها'!L12,0)</f>
        <v/>
      </c>
      <c r="I39" s="10">
        <f>G39*H39</f>
        <v/>
      </c>
      <c r="J39" s="10">
        <f>SUMIFS($I$5:$I$265,$A$5:$A$265,A39)</f>
        <v/>
      </c>
      <c r="K39" s="20">
        <f>IF(J39=0,0,'تنظیمات'!$B$7*INT(F39*I39/(J39*'تنظیمات'!$B$7)))</f>
        <v/>
      </c>
      <c r="L39" s="10">
        <f>IF(J39=0,0,F39*I39-J39*'تنظیمات'!$B$7*INT(F39*I39/(J39*'تنظیمات'!$B$7)))</f>
        <v/>
      </c>
      <c r="M39" s="10">
        <f>1+COUNTIFS($A$5:$A$265,A39,$L$5:$L$265,"&gt;"&amp;L39)+COUNTIFS($A$5:$A$265,A39,$L$5:$L$265,L39,$D$5:$D$265,"&lt;"&amp;D39)</f>
        <v/>
      </c>
      <c r="N39" s="20">
        <f>IF(J39=0,0,F39-SUMIFS($K$5:$K$265,$A$5:$A$265,A39))</f>
        <v/>
      </c>
      <c r="O39" s="10">
        <f>INT(N39/'تنظیمات'!$B$7)</f>
        <v/>
      </c>
      <c r="P39" s="10">
        <f>N39-O39*'تنظیمات'!$B$7</f>
        <v/>
      </c>
      <c r="Q39" s="20">
        <f>IF(J39=0,0,K39+IF(M39&lt;=O39,'تنظیمات'!$B$7,0)+IF(M39=1,P39,0))</f>
        <v/>
      </c>
      <c r="R39" s="22">
        <f>'سطرهای تسهیم'!F8</f>
        <v/>
      </c>
      <c r="S39" s="22">
        <f>'سطرهای تسهیم'!G8</f>
        <v/>
      </c>
      <c r="T39" s="4">
        <f>IFERROR(INDEX('دسته‌ها'!$D$5:$D$25,MATCH(S39,'دسته‌ها'!$A$5:$A$25,0)),"خیر")</f>
        <v/>
      </c>
    </row>
    <row r="40">
      <c r="A40" s="22">
        <f>'سطرهای تسهیم'!A8</f>
        <v/>
      </c>
      <c r="B40" s="22">
        <f>'سطرهای تسهیم'!B8</f>
        <v/>
      </c>
      <c r="C40" s="22">
        <f>'واحدها'!A13</f>
        <v/>
      </c>
      <c r="D40" s="12">
        <f>'واحدها'!H13</f>
        <v/>
      </c>
      <c r="E40" s="22">
        <f>'سطرهای تسهیم'!D8</f>
        <v/>
      </c>
      <c r="F40" s="19">
        <f>'سطرهای تسهیم'!E8</f>
        <v/>
      </c>
      <c r="G40" s="12">
        <f>IF('واحدها'!F13="بله",'شمول'!J6,0)</f>
        <v/>
      </c>
      <c r="H40" s="10">
        <f>CHOOSE(MATCH(E40,'فهرست‌ها'!$A$4:$A$13,0),1,'واحدها'!E13,'واحدها'!D13*100,'واحدها'!J13,'واحدها'!J13,'وزن‌ها'!J6,'وزن‌ها'!J6,'واحدها'!K13,'واحدها'!L13,0)</f>
        <v/>
      </c>
      <c r="I40" s="10">
        <f>G40*H40</f>
        <v/>
      </c>
      <c r="J40" s="10">
        <f>SUMIFS($I$5:$I$265,$A$5:$A$265,A40)</f>
        <v/>
      </c>
      <c r="K40" s="20">
        <f>IF(J40=0,0,'تنظیمات'!$B$7*INT(F40*I40/(J40*'تنظیمات'!$B$7)))</f>
        <v/>
      </c>
      <c r="L40" s="10">
        <f>IF(J40=0,0,F40*I40-J40*'تنظیمات'!$B$7*INT(F40*I40/(J40*'تنظیمات'!$B$7)))</f>
        <v/>
      </c>
      <c r="M40" s="10">
        <f>1+COUNTIFS($A$5:$A$265,A40,$L$5:$L$265,"&gt;"&amp;L40)+COUNTIFS($A$5:$A$265,A40,$L$5:$L$265,L40,$D$5:$D$265,"&lt;"&amp;D40)</f>
        <v/>
      </c>
      <c r="N40" s="20">
        <f>IF(J40=0,0,F40-SUMIFS($K$5:$K$265,$A$5:$A$265,A40))</f>
        <v/>
      </c>
      <c r="O40" s="10">
        <f>INT(N40/'تنظیمات'!$B$7)</f>
        <v/>
      </c>
      <c r="P40" s="10">
        <f>N40-O40*'تنظیمات'!$B$7</f>
        <v/>
      </c>
      <c r="Q40" s="20">
        <f>IF(J40=0,0,K40+IF(M40&lt;=O40,'تنظیمات'!$B$7,0)+IF(M40=1,P40,0))</f>
        <v/>
      </c>
      <c r="R40" s="22">
        <f>'سطرهای تسهیم'!F8</f>
        <v/>
      </c>
      <c r="S40" s="22">
        <f>'سطرهای تسهیم'!G8</f>
        <v/>
      </c>
      <c r="T40" s="4">
        <f>IFERROR(INDEX('دسته‌ها'!$D$5:$D$25,MATCH(S40,'دسته‌ها'!$A$5:$A$25,0)),"خیر")</f>
        <v/>
      </c>
    </row>
    <row r="41">
      <c r="A41" s="22">
        <f>'سطرهای تسهیم'!A9</f>
        <v/>
      </c>
      <c r="B41" s="22">
        <f>'سطرهای تسهیم'!B9</f>
        <v/>
      </c>
      <c r="C41" s="22">
        <f>'واحدها'!A5</f>
        <v/>
      </c>
      <c r="D41" s="12">
        <f>'واحدها'!H5</f>
        <v/>
      </c>
      <c r="E41" s="22">
        <f>'سطرهای تسهیم'!D9</f>
        <v/>
      </c>
      <c r="F41" s="19">
        <f>'سطرهای تسهیم'!E9</f>
        <v/>
      </c>
      <c r="G41" s="12">
        <f>IF('واحدها'!F5="بله",'شمول'!B7,0)</f>
        <v/>
      </c>
      <c r="H41" s="10">
        <f>CHOOSE(MATCH(E41,'فهرست‌ها'!$A$4:$A$13,0),1,'واحدها'!E5,'واحدها'!D5*100,'واحدها'!J5,'واحدها'!J5,'وزن‌ها'!B7,'وزن‌ها'!B7,'واحدها'!K5,'واحدها'!L5,0)</f>
        <v/>
      </c>
      <c r="I41" s="10">
        <f>G41*H41</f>
        <v/>
      </c>
      <c r="J41" s="10">
        <f>SUMIFS($I$5:$I$265,$A$5:$A$265,A41)</f>
        <v/>
      </c>
      <c r="K41" s="20">
        <f>IF(J41=0,0,'تنظیمات'!$B$7*INT(F41*I41/(J41*'تنظیمات'!$B$7)))</f>
        <v/>
      </c>
      <c r="L41" s="10">
        <f>IF(J41=0,0,F41*I41-J41*'تنظیمات'!$B$7*INT(F41*I41/(J41*'تنظیمات'!$B$7)))</f>
        <v/>
      </c>
      <c r="M41" s="10">
        <f>1+COUNTIFS($A$5:$A$265,A41,$L$5:$L$265,"&gt;"&amp;L41)+COUNTIFS($A$5:$A$265,A41,$L$5:$L$265,L41,$D$5:$D$265,"&lt;"&amp;D41)</f>
        <v/>
      </c>
      <c r="N41" s="20">
        <f>IF(J41=0,0,F41-SUMIFS($K$5:$K$265,$A$5:$A$265,A41))</f>
        <v/>
      </c>
      <c r="O41" s="10">
        <f>INT(N41/'تنظیمات'!$B$7)</f>
        <v/>
      </c>
      <c r="P41" s="10">
        <f>N41-O41*'تنظیمات'!$B$7</f>
        <v/>
      </c>
      <c r="Q41" s="20">
        <f>IF(J41=0,0,K41+IF(M41&lt;=O41,'تنظیمات'!$B$7,0)+IF(M41=1,P41,0))</f>
        <v/>
      </c>
      <c r="R41" s="22">
        <f>'سطرهای تسهیم'!F9</f>
        <v/>
      </c>
      <c r="S41" s="22">
        <f>'سطرهای تسهیم'!G9</f>
        <v/>
      </c>
      <c r="T41" s="4">
        <f>IFERROR(INDEX('دسته‌ها'!$D$5:$D$25,MATCH(S41,'دسته‌ها'!$A$5:$A$25,0)),"خیر")</f>
        <v/>
      </c>
    </row>
    <row r="42">
      <c r="A42" s="22">
        <f>'سطرهای تسهیم'!A9</f>
        <v/>
      </c>
      <c r="B42" s="22">
        <f>'سطرهای تسهیم'!B9</f>
        <v/>
      </c>
      <c r="C42" s="22">
        <f>'واحدها'!A6</f>
        <v/>
      </c>
      <c r="D42" s="12">
        <f>'واحدها'!H6</f>
        <v/>
      </c>
      <c r="E42" s="22">
        <f>'سطرهای تسهیم'!D9</f>
        <v/>
      </c>
      <c r="F42" s="19">
        <f>'سطرهای تسهیم'!E9</f>
        <v/>
      </c>
      <c r="G42" s="12">
        <f>IF('واحدها'!F6="بله",'شمول'!C7,0)</f>
        <v/>
      </c>
      <c r="H42" s="10">
        <f>CHOOSE(MATCH(E42,'فهرست‌ها'!$A$4:$A$13,0),1,'واحدها'!E6,'واحدها'!D6*100,'واحدها'!J6,'واحدها'!J6,'وزن‌ها'!C7,'وزن‌ها'!C7,'واحدها'!K6,'واحدها'!L6,0)</f>
        <v/>
      </c>
      <c r="I42" s="10">
        <f>G42*H42</f>
        <v/>
      </c>
      <c r="J42" s="10">
        <f>SUMIFS($I$5:$I$265,$A$5:$A$265,A42)</f>
        <v/>
      </c>
      <c r="K42" s="20">
        <f>IF(J42=0,0,'تنظیمات'!$B$7*INT(F42*I42/(J42*'تنظیمات'!$B$7)))</f>
        <v/>
      </c>
      <c r="L42" s="10">
        <f>IF(J42=0,0,F42*I42-J42*'تنظیمات'!$B$7*INT(F42*I42/(J42*'تنظیمات'!$B$7)))</f>
        <v/>
      </c>
      <c r="M42" s="10">
        <f>1+COUNTIFS($A$5:$A$265,A42,$L$5:$L$265,"&gt;"&amp;L42)+COUNTIFS($A$5:$A$265,A42,$L$5:$L$265,L42,$D$5:$D$265,"&lt;"&amp;D42)</f>
        <v/>
      </c>
      <c r="N42" s="20">
        <f>IF(J42=0,0,F42-SUMIFS($K$5:$K$265,$A$5:$A$265,A42))</f>
        <v/>
      </c>
      <c r="O42" s="10">
        <f>INT(N42/'تنظیمات'!$B$7)</f>
        <v/>
      </c>
      <c r="P42" s="10">
        <f>N42-O42*'تنظیمات'!$B$7</f>
        <v/>
      </c>
      <c r="Q42" s="20">
        <f>IF(J42=0,0,K42+IF(M42&lt;=O42,'تنظیمات'!$B$7,0)+IF(M42=1,P42,0))</f>
        <v/>
      </c>
      <c r="R42" s="22">
        <f>'سطرهای تسهیم'!F9</f>
        <v/>
      </c>
      <c r="S42" s="22">
        <f>'سطرهای تسهیم'!G9</f>
        <v/>
      </c>
      <c r="T42" s="4">
        <f>IFERROR(INDEX('دسته‌ها'!$D$5:$D$25,MATCH(S42,'دسته‌ها'!$A$5:$A$25,0)),"خیر")</f>
        <v/>
      </c>
    </row>
    <row r="43">
      <c r="A43" s="22">
        <f>'سطرهای تسهیم'!A9</f>
        <v/>
      </c>
      <c r="B43" s="22">
        <f>'سطرهای تسهیم'!B9</f>
        <v/>
      </c>
      <c r="C43" s="22">
        <f>'واحدها'!A7</f>
        <v/>
      </c>
      <c r="D43" s="12">
        <f>'واحدها'!H7</f>
        <v/>
      </c>
      <c r="E43" s="22">
        <f>'سطرهای تسهیم'!D9</f>
        <v/>
      </c>
      <c r="F43" s="19">
        <f>'سطرهای تسهیم'!E9</f>
        <v/>
      </c>
      <c r="G43" s="12">
        <f>IF('واحدها'!F7="بله",'شمول'!D7,0)</f>
        <v/>
      </c>
      <c r="H43" s="10">
        <f>CHOOSE(MATCH(E43,'فهرست‌ها'!$A$4:$A$13,0),1,'واحدها'!E7,'واحدها'!D7*100,'واحدها'!J7,'واحدها'!J7,'وزن‌ها'!D7,'وزن‌ها'!D7,'واحدها'!K7,'واحدها'!L7,0)</f>
        <v/>
      </c>
      <c r="I43" s="10">
        <f>G43*H43</f>
        <v/>
      </c>
      <c r="J43" s="10">
        <f>SUMIFS($I$5:$I$265,$A$5:$A$265,A43)</f>
        <v/>
      </c>
      <c r="K43" s="20">
        <f>IF(J43=0,0,'تنظیمات'!$B$7*INT(F43*I43/(J43*'تنظیمات'!$B$7)))</f>
        <v/>
      </c>
      <c r="L43" s="10">
        <f>IF(J43=0,0,F43*I43-J43*'تنظیمات'!$B$7*INT(F43*I43/(J43*'تنظیمات'!$B$7)))</f>
        <v/>
      </c>
      <c r="M43" s="10">
        <f>1+COUNTIFS($A$5:$A$265,A43,$L$5:$L$265,"&gt;"&amp;L43)+COUNTIFS($A$5:$A$265,A43,$L$5:$L$265,L43,$D$5:$D$265,"&lt;"&amp;D43)</f>
        <v/>
      </c>
      <c r="N43" s="20">
        <f>IF(J43=0,0,F43-SUMIFS($K$5:$K$265,$A$5:$A$265,A43))</f>
        <v/>
      </c>
      <c r="O43" s="10">
        <f>INT(N43/'تنظیمات'!$B$7)</f>
        <v/>
      </c>
      <c r="P43" s="10">
        <f>N43-O43*'تنظیمات'!$B$7</f>
        <v/>
      </c>
      <c r="Q43" s="20">
        <f>IF(J43=0,0,K43+IF(M43&lt;=O43,'تنظیمات'!$B$7,0)+IF(M43=1,P43,0))</f>
        <v/>
      </c>
      <c r="R43" s="22">
        <f>'سطرهای تسهیم'!F9</f>
        <v/>
      </c>
      <c r="S43" s="22">
        <f>'سطرهای تسهیم'!G9</f>
        <v/>
      </c>
      <c r="T43" s="4">
        <f>IFERROR(INDEX('دسته‌ها'!$D$5:$D$25,MATCH(S43,'دسته‌ها'!$A$5:$A$25,0)),"خیر")</f>
        <v/>
      </c>
    </row>
    <row r="44">
      <c r="A44" s="22">
        <f>'سطرهای تسهیم'!A9</f>
        <v/>
      </c>
      <c r="B44" s="22">
        <f>'سطرهای تسهیم'!B9</f>
        <v/>
      </c>
      <c r="C44" s="22">
        <f>'واحدها'!A8</f>
        <v/>
      </c>
      <c r="D44" s="12">
        <f>'واحدها'!H8</f>
        <v/>
      </c>
      <c r="E44" s="22">
        <f>'سطرهای تسهیم'!D9</f>
        <v/>
      </c>
      <c r="F44" s="19">
        <f>'سطرهای تسهیم'!E9</f>
        <v/>
      </c>
      <c r="G44" s="12">
        <f>IF('واحدها'!F8="بله",'شمول'!E7,0)</f>
        <v/>
      </c>
      <c r="H44" s="10">
        <f>CHOOSE(MATCH(E44,'فهرست‌ها'!$A$4:$A$13,0),1,'واحدها'!E8,'واحدها'!D8*100,'واحدها'!J8,'واحدها'!J8,'وزن‌ها'!E7,'وزن‌ها'!E7,'واحدها'!K8,'واحدها'!L8,0)</f>
        <v/>
      </c>
      <c r="I44" s="10">
        <f>G44*H44</f>
        <v/>
      </c>
      <c r="J44" s="10">
        <f>SUMIFS($I$5:$I$265,$A$5:$A$265,A44)</f>
        <v/>
      </c>
      <c r="K44" s="20">
        <f>IF(J44=0,0,'تنظیمات'!$B$7*INT(F44*I44/(J44*'تنظیمات'!$B$7)))</f>
        <v/>
      </c>
      <c r="L44" s="10">
        <f>IF(J44=0,0,F44*I44-J44*'تنظیمات'!$B$7*INT(F44*I44/(J44*'تنظیمات'!$B$7)))</f>
        <v/>
      </c>
      <c r="M44" s="10">
        <f>1+COUNTIFS($A$5:$A$265,A44,$L$5:$L$265,"&gt;"&amp;L44)+COUNTIFS($A$5:$A$265,A44,$L$5:$L$265,L44,$D$5:$D$265,"&lt;"&amp;D44)</f>
        <v/>
      </c>
      <c r="N44" s="20">
        <f>IF(J44=0,0,F44-SUMIFS($K$5:$K$265,$A$5:$A$265,A44))</f>
        <v/>
      </c>
      <c r="O44" s="10">
        <f>INT(N44/'تنظیمات'!$B$7)</f>
        <v/>
      </c>
      <c r="P44" s="10">
        <f>N44-O44*'تنظیمات'!$B$7</f>
        <v/>
      </c>
      <c r="Q44" s="20">
        <f>IF(J44=0,0,K44+IF(M44&lt;=O44,'تنظیمات'!$B$7,0)+IF(M44=1,P44,0))</f>
        <v/>
      </c>
      <c r="R44" s="22">
        <f>'سطرهای تسهیم'!F9</f>
        <v/>
      </c>
      <c r="S44" s="22">
        <f>'سطرهای تسهیم'!G9</f>
        <v/>
      </c>
      <c r="T44" s="4">
        <f>IFERROR(INDEX('دسته‌ها'!$D$5:$D$25,MATCH(S44,'دسته‌ها'!$A$5:$A$25,0)),"خیر")</f>
        <v/>
      </c>
    </row>
    <row r="45">
      <c r="A45" s="22">
        <f>'سطرهای تسهیم'!A9</f>
        <v/>
      </c>
      <c r="B45" s="22">
        <f>'سطرهای تسهیم'!B9</f>
        <v/>
      </c>
      <c r="C45" s="22">
        <f>'واحدها'!A9</f>
        <v/>
      </c>
      <c r="D45" s="12">
        <f>'واحدها'!H9</f>
        <v/>
      </c>
      <c r="E45" s="22">
        <f>'سطرهای تسهیم'!D9</f>
        <v/>
      </c>
      <c r="F45" s="19">
        <f>'سطرهای تسهیم'!E9</f>
        <v/>
      </c>
      <c r="G45" s="12">
        <f>IF('واحدها'!F9="بله",'شمول'!F7,0)</f>
        <v/>
      </c>
      <c r="H45" s="10">
        <f>CHOOSE(MATCH(E45,'فهرست‌ها'!$A$4:$A$13,0),1,'واحدها'!E9,'واحدها'!D9*100,'واحدها'!J9,'واحدها'!J9,'وزن‌ها'!F7,'وزن‌ها'!F7,'واحدها'!K9,'واحدها'!L9,0)</f>
        <v/>
      </c>
      <c r="I45" s="10">
        <f>G45*H45</f>
        <v/>
      </c>
      <c r="J45" s="10">
        <f>SUMIFS($I$5:$I$265,$A$5:$A$265,A45)</f>
        <v/>
      </c>
      <c r="K45" s="20">
        <f>IF(J45=0,0,'تنظیمات'!$B$7*INT(F45*I45/(J45*'تنظیمات'!$B$7)))</f>
        <v/>
      </c>
      <c r="L45" s="10">
        <f>IF(J45=0,0,F45*I45-J45*'تنظیمات'!$B$7*INT(F45*I45/(J45*'تنظیمات'!$B$7)))</f>
        <v/>
      </c>
      <c r="M45" s="10">
        <f>1+COUNTIFS($A$5:$A$265,A45,$L$5:$L$265,"&gt;"&amp;L45)+COUNTIFS($A$5:$A$265,A45,$L$5:$L$265,L45,$D$5:$D$265,"&lt;"&amp;D45)</f>
        <v/>
      </c>
      <c r="N45" s="20">
        <f>IF(J45=0,0,F45-SUMIFS($K$5:$K$265,$A$5:$A$265,A45))</f>
        <v/>
      </c>
      <c r="O45" s="10">
        <f>INT(N45/'تنظیمات'!$B$7)</f>
        <v/>
      </c>
      <c r="P45" s="10">
        <f>N45-O45*'تنظیمات'!$B$7</f>
        <v/>
      </c>
      <c r="Q45" s="20">
        <f>IF(J45=0,0,K45+IF(M45&lt;=O45,'تنظیمات'!$B$7,0)+IF(M45=1,P45,0))</f>
        <v/>
      </c>
      <c r="R45" s="22">
        <f>'سطرهای تسهیم'!F9</f>
        <v/>
      </c>
      <c r="S45" s="22">
        <f>'سطرهای تسهیم'!G9</f>
        <v/>
      </c>
      <c r="T45" s="4">
        <f>IFERROR(INDEX('دسته‌ها'!$D$5:$D$25,MATCH(S45,'دسته‌ها'!$A$5:$A$25,0)),"خیر")</f>
        <v/>
      </c>
    </row>
    <row r="46">
      <c r="A46" s="22">
        <f>'سطرهای تسهیم'!A9</f>
        <v/>
      </c>
      <c r="B46" s="22">
        <f>'سطرهای تسهیم'!B9</f>
        <v/>
      </c>
      <c r="C46" s="22">
        <f>'واحدها'!A10</f>
        <v/>
      </c>
      <c r="D46" s="12">
        <f>'واحدها'!H10</f>
        <v/>
      </c>
      <c r="E46" s="22">
        <f>'سطرهای تسهیم'!D9</f>
        <v/>
      </c>
      <c r="F46" s="19">
        <f>'سطرهای تسهیم'!E9</f>
        <v/>
      </c>
      <c r="G46" s="12">
        <f>IF('واحدها'!F10="بله",'شمول'!G7,0)</f>
        <v/>
      </c>
      <c r="H46" s="10">
        <f>CHOOSE(MATCH(E46,'فهرست‌ها'!$A$4:$A$13,0),1,'واحدها'!E10,'واحدها'!D10*100,'واحدها'!J10,'واحدها'!J10,'وزن‌ها'!G7,'وزن‌ها'!G7,'واحدها'!K10,'واحدها'!L10,0)</f>
        <v/>
      </c>
      <c r="I46" s="10">
        <f>G46*H46</f>
        <v/>
      </c>
      <c r="J46" s="10">
        <f>SUMIFS($I$5:$I$265,$A$5:$A$265,A46)</f>
        <v/>
      </c>
      <c r="K46" s="20">
        <f>IF(J46=0,0,'تنظیمات'!$B$7*INT(F46*I46/(J46*'تنظیمات'!$B$7)))</f>
        <v/>
      </c>
      <c r="L46" s="10">
        <f>IF(J46=0,0,F46*I46-J46*'تنظیمات'!$B$7*INT(F46*I46/(J46*'تنظیمات'!$B$7)))</f>
        <v/>
      </c>
      <c r="M46" s="10">
        <f>1+COUNTIFS($A$5:$A$265,A46,$L$5:$L$265,"&gt;"&amp;L46)+COUNTIFS($A$5:$A$265,A46,$L$5:$L$265,L46,$D$5:$D$265,"&lt;"&amp;D46)</f>
        <v/>
      </c>
      <c r="N46" s="20">
        <f>IF(J46=0,0,F46-SUMIFS($K$5:$K$265,$A$5:$A$265,A46))</f>
        <v/>
      </c>
      <c r="O46" s="10">
        <f>INT(N46/'تنظیمات'!$B$7)</f>
        <v/>
      </c>
      <c r="P46" s="10">
        <f>N46-O46*'تنظیمات'!$B$7</f>
        <v/>
      </c>
      <c r="Q46" s="20">
        <f>IF(J46=0,0,K46+IF(M46&lt;=O46,'تنظیمات'!$B$7,0)+IF(M46=1,P46,0))</f>
        <v/>
      </c>
      <c r="R46" s="22">
        <f>'سطرهای تسهیم'!F9</f>
        <v/>
      </c>
      <c r="S46" s="22">
        <f>'سطرهای تسهیم'!G9</f>
        <v/>
      </c>
      <c r="T46" s="4">
        <f>IFERROR(INDEX('دسته‌ها'!$D$5:$D$25,MATCH(S46,'دسته‌ها'!$A$5:$A$25,0)),"خیر")</f>
        <v/>
      </c>
    </row>
    <row r="47">
      <c r="A47" s="22">
        <f>'سطرهای تسهیم'!A9</f>
        <v/>
      </c>
      <c r="B47" s="22">
        <f>'سطرهای تسهیم'!B9</f>
        <v/>
      </c>
      <c r="C47" s="22">
        <f>'واحدها'!A11</f>
        <v/>
      </c>
      <c r="D47" s="12">
        <f>'واحدها'!H11</f>
        <v/>
      </c>
      <c r="E47" s="22">
        <f>'سطرهای تسهیم'!D9</f>
        <v/>
      </c>
      <c r="F47" s="19">
        <f>'سطرهای تسهیم'!E9</f>
        <v/>
      </c>
      <c r="G47" s="12">
        <f>IF('واحدها'!F11="بله",'شمول'!H7,0)</f>
        <v/>
      </c>
      <c r="H47" s="10">
        <f>CHOOSE(MATCH(E47,'فهرست‌ها'!$A$4:$A$13,0),1,'واحدها'!E11,'واحدها'!D11*100,'واحدها'!J11,'واحدها'!J11,'وزن‌ها'!H7,'وزن‌ها'!H7,'واحدها'!K11,'واحدها'!L11,0)</f>
        <v/>
      </c>
      <c r="I47" s="10">
        <f>G47*H47</f>
        <v/>
      </c>
      <c r="J47" s="10">
        <f>SUMIFS($I$5:$I$265,$A$5:$A$265,A47)</f>
        <v/>
      </c>
      <c r="K47" s="20">
        <f>IF(J47=0,0,'تنظیمات'!$B$7*INT(F47*I47/(J47*'تنظیمات'!$B$7)))</f>
        <v/>
      </c>
      <c r="L47" s="10">
        <f>IF(J47=0,0,F47*I47-J47*'تنظیمات'!$B$7*INT(F47*I47/(J47*'تنظیمات'!$B$7)))</f>
        <v/>
      </c>
      <c r="M47" s="10">
        <f>1+COUNTIFS($A$5:$A$265,A47,$L$5:$L$265,"&gt;"&amp;L47)+COUNTIFS($A$5:$A$265,A47,$L$5:$L$265,L47,$D$5:$D$265,"&lt;"&amp;D47)</f>
        <v/>
      </c>
      <c r="N47" s="20">
        <f>IF(J47=0,0,F47-SUMIFS($K$5:$K$265,$A$5:$A$265,A47))</f>
        <v/>
      </c>
      <c r="O47" s="10">
        <f>INT(N47/'تنظیمات'!$B$7)</f>
        <v/>
      </c>
      <c r="P47" s="10">
        <f>N47-O47*'تنظیمات'!$B$7</f>
        <v/>
      </c>
      <c r="Q47" s="20">
        <f>IF(J47=0,0,K47+IF(M47&lt;=O47,'تنظیمات'!$B$7,0)+IF(M47=1,P47,0))</f>
        <v/>
      </c>
      <c r="R47" s="22">
        <f>'سطرهای تسهیم'!F9</f>
        <v/>
      </c>
      <c r="S47" s="22">
        <f>'سطرهای تسهیم'!G9</f>
        <v/>
      </c>
      <c r="T47" s="4">
        <f>IFERROR(INDEX('دسته‌ها'!$D$5:$D$25,MATCH(S47,'دسته‌ها'!$A$5:$A$25,0)),"خیر")</f>
        <v/>
      </c>
    </row>
    <row r="48">
      <c r="A48" s="22">
        <f>'سطرهای تسهیم'!A9</f>
        <v/>
      </c>
      <c r="B48" s="22">
        <f>'سطرهای تسهیم'!B9</f>
        <v/>
      </c>
      <c r="C48" s="22">
        <f>'واحدها'!A12</f>
        <v/>
      </c>
      <c r="D48" s="12">
        <f>'واحدها'!H12</f>
        <v/>
      </c>
      <c r="E48" s="22">
        <f>'سطرهای تسهیم'!D9</f>
        <v/>
      </c>
      <c r="F48" s="19">
        <f>'سطرهای تسهیم'!E9</f>
        <v/>
      </c>
      <c r="G48" s="12">
        <f>IF('واحدها'!F12="بله",'شمول'!I7,0)</f>
        <v/>
      </c>
      <c r="H48" s="10">
        <f>CHOOSE(MATCH(E48,'فهرست‌ها'!$A$4:$A$13,0),1,'واحدها'!E12,'واحدها'!D12*100,'واحدها'!J12,'واحدها'!J12,'وزن‌ها'!I7,'وزن‌ها'!I7,'واحدها'!K12,'واحدها'!L12,0)</f>
        <v/>
      </c>
      <c r="I48" s="10">
        <f>G48*H48</f>
        <v/>
      </c>
      <c r="J48" s="10">
        <f>SUMIFS($I$5:$I$265,$A$5:$A$265,A48)</f>
        <v/>
      </c>
      <c r="K48" s="20">
        <f>IF(J48=0,0,'تنظیمات'!$B$7*INT(F48*I48/(J48*'تنظیمات'!$B$7)))</f>
        <v/>
      </c>
      <c r="L48" s="10">
        <f>IF(J48=0,0,F48*I48-J48*'تنظیمات'!$B$7*INT(F48*I48/(J48*'تنظیمات'!$B$7)))</f>
        <v/>
      </c>
      <c r="M48" s="10">
        <f>1+COUNTIFS($A$5:$A$265,A48,$L$5:$L$265,"&gt;"&amp;L48)+COUNTIFS($A$5:$A$265,A48,$L$5:$L$265,L48,$D$5:$D$265,"&lt;"&amp;D48)</f>
        <v/>
      </c>
      <c r="N48" s="20">
        <f>IF(J48=0,0,F48-SUMIFS($K$5:$K$265,$A$5:$A$265,A48))</f>
        <v/>
      </c>
      <c r="O48" s="10">
        <f>INT(N48/'تنظیمات'!$B$7)</f>
        <v/>
      </c>
      <c r="P48" s="10">
        <f>N48-O48*'تنظیمات'!$B$7</f>
        <v/>
      </c>
      <c r="Q48" s="20">
        <f>IF(J48=0,0,K48+IF(M48&lt;=O48,'تنظیمات'!$B$7,0)+IF(M48=1,P48,0))</f>
        <v/>
      </c>
      <c r="R48" s="22">
        <f>'سطرهای تسهیم'!F9</f>
        <v/>
      </c>
      <c r="S48" s="22">
        <f>'سطرهای تسهیم'!G9</f>
        <v/>
      </c>
      <c r="T48" s="4">
        <f>IFERROR(INDEX('دسته‌ها'!$D$5:$D$25,MATCH(S48,'دسته‌ها'!$A$5:$A$25,0)),"خیر")</f>
        <v/>
      </c>
    </row>
    <row r="49">
      <c r="A49" s="22">
        <f>'سطرهای تسهیم'!A9</f>
        <v/>
      </c>
      <c r="B49" s="22">
        <f>'سطرهای تسهیم'!B9</f>
        <v/>
      </c>
      <c r="C49" s="22">
        <f>'واحدها'!A13</f>
        <v/>
      </c>
      <c r="D49" s="12">
        <f>'واحدها'!H13</f>
        <v/>
      </c>
      <c r="E49" s="22">
        <f>'سطرهای تسهیم'!D9</f>
        <v/>
      </c>
      <c r="F49" s="19">
        <f>'سطرهای تسهیم'!E9</f>
        <v/>
      </c>
      <c r="G49" s="12">
        <f>IF('واحدها'!F13="بله",'شمول'!J7,0)</f>
        <v/>
      </c>
      <c r="H49" s="10">
        <f>CHOOSE(MATCH(E49,'فهرست‌ها'!$A$4:$A$13,0),1,'واحدها'!E13,'واحدها'!D13*100,'واحدها'!J13,'واحدها'!J13,'وزن‌ها'!J7,'وزن‌ها'!J7,'واحدها'!K13,'واحدها'!L13,0)</f>
        <v/>
      </c>
      <c r="I49" s="10">
        <f>G49*H49</f>
        <v/>
      </c>
      <c r="J49" s="10">
        <f>SUMIFS($I$5:$I$265,$A$5:$A$265,A49)</f>
        <v/>
      </c>
      <c r="K49" s="20">
        <f>IF(J49=0,0,'تنظیمات'!$B$7*INT(F49*I49/(J49*'تنظیمات'!$B$7)))</f>
        <v/>
      </c>
      <c r="L49" s="10">
        <f>IF(J49=0,0,F49*I49-J49*'تنظیمات'!$B$7*INT(F49*I49/(J49*'تنظیمات'!$B$7)))</f>
        <v/>
      </c>
      <c r="M49" s="10">
        <f>1+COUNTIFS($A$5:$A$265,A49,$L$5:$L$265,"&gt;"&amp;L49)+COUNTIFS($A$5:$A$265,A49,$L$5:$L$265,L49,$D$5:$D$265,"&lt;"&amp;D49)</f>
        <v/>
      </c>
      <c r="N49" s="20">
        <f>IF(J49=0,0,F49-SUMIFS($K$5:$K$265,$A$5:$A$265,A49))</f>
        <v/>
      </c>
      <c r="O49" s="10">
        <f>INT(N49/'تنظیمات'!$B$7)</f>
        <v/>
      </c>
      <c r="P49" s="10">
        <f>N49-O49*'تنظیمات'!$B$7</f>
        <v/>
      </c>
      <c r="Q49" s="20">
        <f>IF(J49=0,0,K49+IF(M49&lt;=O49,'تنظیمات'!$B$7,0)+IF(M49=1,P49,0))</f>
        <v/>
      </c>
      <c r="R49" s="22">
        <f>'سطرهای تسهیم'!F9</f>
        <v/>
      </c>
      <c r="S49" s="22">
        <f>'سطرهای تسهیم'!G9</f>
        <v/>
      </c>
      <c r="T49" s="4">
        <f>IFERROR(INDEX('دسته‌ها'!$D$5:$D$25,MATCH(S49,'دسته‌ها'!$A$5:$A$25,0)),"خیر")</f>
        <v/>
      </c>
    </row>
    <row r="50">
      <c r="A50" s="22">
        <f>'سطرهای تسهیم'!A10</f>
        <v/>
      </c>
      <c r="B50" s="22">
        <f>'سطرهای تسهیم'!B10</f>
        <v/>
      </c>
      <c r="C50" s="22">
        <f>'واحدها'!A5</f>
        <v/>
      </c>
      <c r="D50" s="12">
        <f>'واحدها'!H5</f>
        <v/>
      </c>
      <c r="E50" s="22">
        <f>'سطرهای تسهیم'!D10</f>
        <v/>
      </c>
      <c r="F50" s="19">
        <f>'سطرهای تسهیم'!E10</f>
        <v/>
      </c>
      <c r="G50" s="12">
        <f>IF('واحدها'!F5="بله",'شمول'!B7,0)</f>
        <v/>
      </c>
      <c r="H50" s="10">
        <f>CHOOSE(MATCH(E50,'فهرست‌ها'!$A$4:$A$13,0),1,'واحدها'!E5,'واحدها'!D5*100,'واحدها'!J5,'واحدها'!J5,'وزن‌ها'!B7,'وزن‌ها'!B7,'واحدها'!K5,'واحدها'!L5,0)</f>
        <v/>
      </c>
      <c r="I50" s="10">
        <f>G50*H50</f>
        <v/>
      </c>
      <c r="J50" s="10">
        <f>SUMIFS($I$5:$I$265,$A$5:$A$265,A50)</f>
        <v/>
      </c>
      <c r="K50" s="20">
        <f>IF(J50=0,0,'تنظیمات'!$B$7*INT(F50*I50/(J50*'تنظیمات'!$B$7)))</f>
        <v/>
      </c>
      <c r="L50" s="10">
        <f>IF(J50=0,0,F50*I50-J50*'تنظیمات'!$B$7*INT(F50*I50/(J50*'تنظیمات'!$B$7)))</f>
        <v/>
      </c>
      <c r="M50" s="10">
        <f>1+COUNTIFS($A$5:$A$265,A50,$L$5:$L$265,"&gt;"&amp;L50)+COUNTIFS($A$5:$A$265,A50,$L$5:$L$265,L50,$D$5:$D$265,"&lt;"&amp;D50)</f>
        <v/>
      </c>
      <c r="N50" s="20">
        <f>IF(J50=0,0,F50-SUMIFS($K$5:$K$265,$A$5:$A$265,A50))</f>
        <v/>
      </c>
      <c r="O50" s="10">
        <f>INT(N50/'تنظیمات'!$B$7)</f>
        <v/>
      </c>
      <c r="P50" s="10">
        <f>N50-O50*'تنظیمات'!$B$7</f>
        <v/>
      </c>
      <c r="Q50" s="20">
        <f>IF(J50=0,0,K50+IF(M50&lt;=O50,'تنظیمات'!$B$7,0)+IF(M50=1,P50,0))</f>
        <v/>
      </c>
      <c r="R50" s="22">
        <f>'سطرهای تسهیم'!F10</f>
        <v/>
      </c>
      <c r="S50" s="22">
        <f>'سطرهای تسهیم'!G10</f>
        <v/>
      </c>
      <c r="T50" s="4">
        <f>IFERROR(INDEX('دسته‌ها'!$D$5:$D$25,MATCH(S50,'دسته‌ها'!$A$5:$A$25,0)),"خیر")</f>
        <v/>
      </c>
    </row>
    <row r="51">
      <c r="A51" s="22">
        <f>'سطرهای تسهیم'!A10</f>
        <v/>
      </c>
      <c r="B51" s="22">
        <f>'سطرهای تسهیم'!B10</f>
        <v/>
      </c>
      <c r="C51" s="22">
        <f>'واحدها'!A6</f>
        <v/>
      </c>
      <c r="D51" s="12">
        <f>'واحدها'!H6</f>
        <v/>
      </c>
      <c r="E51" s="22">
        <f>'سطرهای تسهیم'!D10</f>
        <v/>
      </c>
      <c r="F51" s="19">
        <f>'سطرهای تسهیم'!E10</f>
        <v/>
      </c>
      <c r="G51" s="12">
        <f>IF('واحدها'!F6="بله",'شمول'!C7,0)</f>
        <v/>
      </c>
      <c r="H51" s="10">
        <f>CHOOSE(MATCH(E51,'فهرست‌ها'!$A$4:$A$13,0),1,'واحدها'!E6,'واحدها'!D6*100,'واحدها'!J6,'واحدها'!J6,'وزن‌ها'!C7,'وزن‌ها'!C7,'واحدها'!K6,'واحدها'!L6,0)</f>
        <v/>
      </c>
      <c r="I51" s="10">
        <f>G51*H51</f>
        <v/>
      </c>
      <c r="J51" s="10">
        <f>SUMIFS($I$5:$I$265,$A$5:$A$265,A51)</f>
        <v/>
      </c>
      <c r="K51" s="20">
        <f>IF(J51=0,0,'تنظیمات'!$B$7*INT(F51*I51/(J51*'تنظیمات'!$B$7)))</f>
        <v/>
      </c>
      <c r="L51" s="10">
        <f>IF(J51=0,0,F51*I51-J51*'تنظیمات'!$B$7*INT(F51*I51/(J51*'تنظیمات'!$B$7)))</f>
        <v/>
      </c>
      <c r="M51" s="10">
        <f>1+COUNTIFS($A$5:$A$265,A51,$L$5:$L$265,"&gt;"&amp;L51)+COUNTIFS($A$5:$A$265,A51,$L$5:$L$265,L51,$D$5:$D$265,"&lt;"&amp;D51)</f>
        <v/>
      </c>
      <c r="N51" s="20">
        <f>IF(J51=0,0,F51-SUMIFS($K$5:$K$265,$A$5:$A$265,A51))</f>
        <v/>
      </c>
      <c r="O51" s="10">
        <f>INT(N51/'تنظیمات'!$B$7)</f>
        <v/>
      </c>
      <c r="P51" s="10">
        <f>N51-O51*'تنظیمات'!$B$7</f>
        <v/>
      </c>
      <c r="Q51" s="20">
        <f>IF(J51=0,0,K51+IF(M51&lt;=O51,'تنظیمات'!$B$7,0)+IF(M51=1,P51,0))</f>
        <v/>
      </c>
      <c r="R51" s="22">
        <f>'سطرهای تسهیم'!F10</f>
        <v/>
      </c>
      <c r="S51" s="22">
        <f>'سطرهای تسهیم'!G10</f>
        <v/>
      </c>
      <c r="T51" s="4">
        <f>IFERROR(INDEX('دسته‌ها'!$D$5:$D$25,MATCH(S51,'دسته‌ها'!$A$5:$A$25,0)),"خیر")</f>
        <v/>
      </c>
    </row>
    <row r="52">
      <c r="A52" s="22">
        <f>'سطرهای تسهیم'!A10</f>
        <v/>
      </c>
      <c r="B52" s="22">
        <f>'سطرهای تسهیم'!B10</f>
        <v/>
      </c>
      <c r="C52" s="22">
        <f>'واحدها'!A7</f>
        <v/>
      </c>
      <c r="D52" s="12">
        <f>'واحدها'!H7</f>
        <v/>
      </c>
      <c r="E52" s="22">
        <f>'سطرهای تسهیم'!D10</f>
        <v/>
      </c>
      <c r="F52" s="19">
        <f>'سطرهای تسهیم'!E10</f>
        <v/>
      </c>
      <c r="G52" s="12">
        <f>IF('واحدها'!F7="بله",'شمول'!D7,0)</f>
        <v/>
      </c>
      <c r="H52" s="10">
        <f>CHOOSE(MATCH(E52,'فهرست‌ها'!$A$4:$A$13,0),1,'واحدها'!E7,'واحدها'!D7*100,'واحدها'!J7,'واحدها'!J7,'وزن‌ها'!D7,'وزن‌ها'!D7,'واحدها'!K7,'واحدها'!L7,0)</f>
        <v/>
      </c>
      <c r="I52" s="10">
        <f>G52*H52</f>
        <v/>
      </c>
      <c r="J52" s="10">
        <f>SUMIFS($I$5:$I$265,$A$5:$A$265,A52)</f>
        <v/>
      </c>
      <c r="K52" s="20">
        <f>IF(J52=0,0,'تنظیمات'!$B$7*INT(F52*I52/(J52*'تنظیمات'!$B$7)))</f>
        <v/>
      </c>
      <c r="L52" s="10">
        <f>IF(J52=0,0,F52*I52-J52*'تنظیمات'!$B$7*INT(F52*I52/(J52*'تنظیمات'!$B$7)))</f>
        <v/>
      </c>
      <c r="M52" s="10">
        <f>1+COUNTIFS($A$5:$A$265,A52,$L$5:$L$265,"&gt;"&amp;L52)+COUNTIFS($A$5:$A$265,A52,$L$5:$L$265,L52,$D$5:$D$265,"&lt;"&amp;D52)</f>
        <v/>
      </c>
      <c r="N52" s="20">
        <f>IF(J52=0,0,F52-SUMIFS($K$5:$K$265,$A$5:$A$265,A52))</f>
        <v/>
      </c>
      <c r="O52" s="10">
        <f>INT(N52/'تنظیمات'!$B$7)</f>
        <v/>
      </c>
      <c r="P52" s="10">
        <f>N52-O52*'تنظیمات'!$B$7</f>
        <v/>
      </c>
      <c r="Q52" s="20">
        <f>IF(J52=0,0,K52+IF(M52&lt;=O52,'تنظیمات'!$B$7,0)+IF(M52=1,P52,0))</f>
        <v/>
      </c>
      <c r="R52" s="22">
        <f>'سطرهای تسهیم'!F10</f>
        <v/>
      </c>
      <c r="S52" s="22">
        <f>'سطرهای تسهیم'!G10</f>
        <v/>
      </c>
      <c r="T52" s="4">
        <f>IFERROR(INDEX('دسته‌ها'!$D$5:$D$25,MATCH(S52,'دسته‌ها'!$A$5:$A$25,0)),"خیر")</f>
        <v/>
      </c>
    </row>
    <row r="53">
      <c r="A53" s="22">
        <f>'سطرهای تسهیم'!A10</f>
        <v/>
      </c>
      <c r="B53" s="22">
        <f>'سطرهای تسهیم'!B10</f>
        <v/>
      </c>
      <c r="C53" s="22">
        <f>'واحدها'!A8</f>
        <v/>
      </c>
      <c r="D53" s="12">
        <f>'واحدها'!H8</f>
        <v/>
      </c>
      <c r="E53" s="22">
        <f>'سطرهای تسهیم'!D10</f>
        <v/>
      </c>
      <c r="F53" s="19">
        <f>'سطرهای تسهیم'!E10</f>
        <v/>
      </c>
      <c r="G53" s="12">
        <f>IF('واحدها'!F8="بله",'شمول'!E7,0)</f>
        <v/>
      </c>
      <c r="H53" s="10">
        <f>CHOOSE(MATCH(E53,'فهرست‌ها'!$A$4:$A$13,0),1,'واحدها'!E8,'واحدها'!D8*100,'واحدها'!J8,'واحدها'!J8,'وزن‌ها'!E7,'وزن‌ها'!E7,'واحدها'!K8,'واحدها'!L8,0)</f>
        <v/>
      </c>
      <c r="I53" s="10">
        <f>G53*H53</f>
        <v/>
      </c>
      <c r="J53" s="10">
        <f>SUMIFS($I$5:$I$265,$A$5:$A$265,A53)</f>
        <v/>
      </c>
      <c r="K53" s="20">
        <f>IF(J53=0,0,'تنظیمات'!$B$7*INT(F53*I53/(J53*'تنظیمات'!$B$7)))</f>
        <v/>
      </c>
      <c r="L53" s="10">
        <f>IF(J53=0,0,F53*I53-J53*'تنظیمات'!$B$7*INT(F53*I53/(J53*'تنظیمات'!$B$7)))</f>
        <v/>
      </c>
      <c r="M53" s="10">
        <f>1+COUNTIFS($A$5:$A$265,A53,$L$5:$L$265,"&gt;"&amp;L53)+COUNTIFS($A$5:$A$265,A53,$L$5:$L$265,L53,$D$5:$D$265,"&lt;"&amp;D53)</f>
        <v/>
      </c>
      <c r="N53" s="20">
        <f>IF(J53=0,0,F53-SUMIFS($K$5:$K$265,$A$5:$A$265,A53))</f>
        <v/>
      </c>
      <c r="O53" s="10">
        <f>INT(N53/'تنظیمات'!$B$7)</f>
        <v/>
      </c>
      <c r="P53" s="10">
        <f>N53-O53*'تنظیمات'!$B$7</f>
        <v/>
      </c>
      <c r="Q53" s="20">
        <f>IF(J53=0,0,K53+IF(M53&lt;=O53,'تنظیمات'!$B$7,0)+IF(M53=1,P53,0))</f>
        <v/>
      </c>
      <c r="R53" s="22">
        <f>'سطرهای تسهیم'!F10</f>
        <v/>
      </c>
      <c r="S53" s="22">
        <f>'سطرهای تسهیم'!G10</f>
        <v/>
      </c>
      <c r="T53" s="4">
        <f>IFERROR(INDEX('دسته‌ها'!$D$5:$D$25,MATCH(S53,'دسته‌ها'!$A$5:$A$25,0)),"خیر")</f>
        <v/>
      </c>
    </row>
    <row r="54">
      <c r="A54" s="22">
        <f>'سطرهای تسهیم'!A10</f>
        <v/>
      </c>
      <c r="B54" s="22">
        <f>'سطرهای تسهیم'!B10</f>
        <v/>
      </c>
      <c r="C54" s="22">
        <f>'واحدها'!A9</f>
        <v/>
      </c>
      <c r="D54" s="12">
        <f>'واحدها'!H9</f>
        <v/>
      </c>
      <c r="E54" s="22">
        <f>'سطرهای تسهیم'!D10</f>
        <v/>
      </c>
      <c r="F54" s="19">
        <f>'سطرهای تسهیم'!E10</f>
        <v/>
      </c>
      <c r="G54" s="12">
        <f>IF('واحدها'!F9="بله",'شمول'!F7,0)</f>
        <v/>
      </c>
      <c r="H54" s="10">
        <f>CHOOSE(MATCH(E54,'فهرست‌ها'!$A$4:$A$13,0),1,'واحدها'!E9,'واحدها'!D9*100,'واحدها'!J9,'واحدها'!J9,'وزن‌ها'!F7,'وزن‌ها'!F7,'واحدها'!K9,'واحدها'!L9,0)</f>
        <v/>
      </c>
      <c r="I54" s="10">
        <f>G54*H54</f>
        <v/>
      </c>
      <c r="J54" s="10">
        <f>SUMIFS($I$5:$I$265,$A$5:$A$265,A54)</f>
        <v/>
      </c>
      <c r="K54" s="20">
        <f>IF(J54=0,0,'تنظیمات'!$B$7*INT(F54*I54/(J54*'تنظیمات'!$B$7)))</f>
        <v/>
      </c>
      <c r="L54" s="10">
        <f>IF(J54=0,0,F54*I54-J54*'تنظیمات'!$B$7*INT(F54*I54/(J54*'تنظیمات'!$B$7)))</f>
        <v/>
      </c>
      <c r="M54" s="10">
        <f>1+COUNTIFS($A$5:$A$265,A54,$L$5:$L$265,"&gt;"&amp;L54)+COUNTIFS($A$5:$A$265,A54,$L$5:$L$265,L54,$D$5:$D$265,"&lt;"&amp;D54)</f>
        <v/>
      </c>
      <c r="N54" s="20">
        <f>IF(J54=0,0,F54-SUMIFS($K$5:$K$265,$A$5:$A$265,A54))</f>
        <v/>
      </c>
      <c r="O54" s="10">
        <f>INT(N54/'تنظیمات'!$B$7)</f>
        <v/>
      </c>
      <c r="P54" s="10">
        <f>N54-O54*'تنظیمات'!$B$7</f>
        <v/>
      </c>
      <c r="Q54" s="20">
        <f>IF(J54=0,0,K54+IF(M54&lt;=O54,'تنظیمات'!$B$7,0)+IF(M54=1,P54,0))</f>
        <v/>
      </c>
      <c r="R54" s="22">
        <f>'سطرهای تسهیم'!F10</f>
        <v/>
      </c>
      <c r="S54" s="22">
        <f>'سطرهای تسهیم'!G10</f>
        <v/>
      </c>
      <c r="T54" s="4">
        <f>IFERROR(INDEX('دسته‌ها'!$D$5:$D$25,MATCH(S54,'دسته‌ها'!$A$5:$A$25,0)),"خیر")</f>
        <v/>
      </c>
    </row>
    <row r="55">
      <c r="A55" s="22">
        <f>'سطرهای تسهیم'!A10</f>
        <v/>
      </c>
      <c r="B55" s="22">
        <f>'سطرهای تسهیم'!B10</f>
        <v/>
      </c>
      <c r="C55" s="22">
        <f>'واحدها'!A10</f>
        <v/>
      </c>
      <c r="D55" s="12">
        <f>'واحدها'!H10</f>
        <v/>
      </c>
      <c r="E55" s="22">
        <f>'سطرهای تسهیم'!D10</f>
        <v/>
      </c>
      <c r="F55" s="19">
        <f>'سطرهای تسهیم'!E10</f>
        <v/>
      </c>
      <c r="G55" s="12">
        <f>IF('واحدها'!F10="بله",'شمول'!G7,0)</f>
        <v/>
      </c>
      <c r="H55" s="10">
        <f>CHOOSE(MATCH(E55,'فهرست‌ها'!$A$4:$A$13,0),1,'واحدها'!E10,'واحدها'!D10*100,'واحدها'!J10,'واحدها'!J10,'وزن‌ها'!G7,'وزن‌ها'!G7,'واحدها'!K10,'واحدها'!L10,0)</f>
        <v/>
      </c>
      <c r="I55" s="10">
        <f>G55*H55</f>
        <v/>
      </c>
      <c r="J55" s="10">
        <f>SUMIFS($I$5:$I$265,$A$5:$A$265,A55)</f>
        <v/>
      </c>
      <c r="K55" s="20">
        <f>IF(J55=0,0,'تنظیمات'!$B$7*INT(F55*I55/(J55*'تنظیمات'!$B$7)))</f>
        <v/>
      </c>
      <c r="L55" s="10">
        <f>IF(J55=0,0,F55*I55-J55*'تنظیمات'!$B$7*INT(F55*I55/(J55*'تنظیمات'!$B$7)))</f>
        <v/>
      </c>
      <c r="M55" s="10">
        <f>1+COUNTIFS($A$5:$A$265,A55,$L$5:$L$265,"&gt;"&amp;L55)+COUNTIFS($A$5:$A$265,A55,$L$5:$L$265,L55,$D$5:$D$265,"&lt;"&amp;D55)</f>
        <v/>
      </c>
      <c r="N55" s="20">
        <f>IF(J55=0,0,F55-SUMIFS($K$5:$K$265,$A$5:$A$265,A55))</f>
        <v/>
      </c>
      <c r="O55" s="10">
        <f>INT(N55/'تنظیمات'!$B$7)</f>
        <v/>
      </c>
      <c r="P55" s="10">
        <f>N55-O55*'تنظیمات'!$B$7</f>
        <v/>
      </c>
      <c r="Q55" s="20">
        <f>IF(J55=0,0,K55+IF(M55&lt;=O55,'تنظیمات'!$B$7,0)+IF(M55=1,P55,0))</f>
        <v/>
      </c>
      <c r="R55" s="22">
        <f>'سطرهای تسهیم'!F10</f>
        <v/>
      </c>
      <c r="S55" s="22">
        <f>'سطرهای تسهیم'!G10</f>
        <v/>
      </c>
      <c r="T55" s="4">
        <f>IFERROR(INDEX('دسته‌ها'!$D$5:$D$25,MATCH(S55,'دسته‌ها'!$A$5:$A$25,0)),"خیر")</f>
        <v/>
      </c>
    </row>
    <row r="56">
      <c r="A56" s="22">
        <f>'سطرهای تسهیم'!A10</f>
        <v/>
      </c>
      <c r="B56" s="22">
        <f>'سطرهای تسهیم'!B10</f>
        <v/>
      </c>
      <c r="C56" s="22">
        <f>'واحدها'!A11</f>
        <v/>
      </c>
      <c r="D56" s="12">
        <f>'واحدها'!H11</f>
        <v/>
      </c>
      <c r="E56" s="22">
        <f>'سطرهای تسهیم'!D10</f>
        <v/>
      </c>
      <c r="F56" s="19">
        <f>'سطرهای تسهیم'!E10</f>
        <v/>
      </c>
      <c r="G56" s="12">
        <f>IF('واحدها'!F11="بله",'شمول'!H7,0)</f>
        <v/>
      </c>
      <c r="H56" s="10">
        <f>CHOOSE(MATCH(E56,'فهرست‌ها'!$A$4:$A$13,0),1,'واحدها'!E11,'واحدها'!D11*100,'واحدها'!J11,'واحدها'!J11,'وزن‌ها'!H7,'وزن‌ها'!H7,'واحدها'!K11,'واحدها'!L11,0)</f>
        <v/>
      </c>
      <c r="I56" s="10">
        <f>G56*H56</f>
        <v/>
      </c>
      <c r="J56" s="10">
        <f>SUMIFS($I$5:$I$265,$A$5:$A$265,A56)</f>
        <v/>
      </c>
      <c r="K56" s="20">
        <f>IF(J56=0,0,'تنظیمات'!$B$7*INT(F56*I56/(J56*'تنظیمات'!$B$7)))</f>
        <v/>
      </c>
      <c r="L56" s="10">
        <f>IF(J56=0,0,F56*I56-J56*'تنظیمات'!$B$7*INT(F56*I56/(J56*'تنظیمات'!$B$7)))</f>
        <v/>
      </c>
      <c r="M56" s="10">
        <f>1+COUNTIFS($A$5:$A$265,A56,$L$5:$L$265,"&gt;"&amp;L56)+COUNTIFS($A$5:$A$265,A56,$L$5:$L$265,L56,$D$5:$D$265,"&lt;"&amp;D56)</f>
        <v/>
      </c>
      <c r="N56" s="20">
        <f>IF(J56=0,0,F56-SUMIFS($K$5:$K$265,$A$5:$A$265,A56))</f>
        <v/>
      </c>
      <c r="O56" s="10">
        <f>INT(N56/'تنظیمات'!$B$7)</f>
        <v/>
      </c>
      <c r="P56" s="10">
        <f>N56-O56*'تنظیمات'!$B$7</f>
        <v/>
      </c>
      <c r="Q56" s="20">
        <f>IF(J56=0,0,K56+IF(M56&lt;=O56,'تنظیمات'!$B$7,0)+IF(M56=1,P56,0))</f>
        <v/>
      </c>
      <c r="R56" s="22">
        <f>'سطرهای تسهیم'!F10</f>
        <v/>
      </c>
      <c r="S56" s="22">
        <f>'سطرهای تسهیم'!G10</f>
        <v/>
      </c>
      <c r="T56" s="4">
        <f>IFERROR(INDEX('دسته‌ها'!$D$5:$D$25,MATCH(S56,'دسته‌ها'!$A$5:$A$25,0)),"خیر")</f>
        <v/>
      </c>
    </row>
    <row r="57">
      <c r="A57" s="22">
        <f>'سطرهای تسهیم'!A10</f>
        <v/>
      </c>
      <c r="B57" s="22">
        <f>'سطرهای تسهیم'!B10</f>
        <v/>
      </c>
      <c r="C57" s="22">
        <f>'واحدها'!A12</f>
        <v/>
      </c>
      <c r="D57" s="12">
        <f>'واحدها'!H12</f>
        <v/>
      </c>
      <c r="E57" s="22">
        <f>'سطرهای تسهیم'!D10</f>
        <v/>
      </c>
      <c r="F57" s="19">
        <f>'سطرهای تسهیم'!E10</f>
        <v/>
      </c>
      <c r="G57" s="12">
        <f>IF('واحدها'!F12="بله",'شمول'!I7,0)</f>
        <v/>
      </c>
      <c r="H57" s="10">
        <f>CHOOSE(MATCH(E57,'فهرست‌ها'!$A$4:$A$13,0),1,'واحدها'!E12,'واحدها'!D12*100,'واحدها'!J12,'واحدها'!J12,'وزن‌ها'!I7,'وزن‌ها'!I7,'واحدها'!K12,'واحدها'!L12,0)</f>
        <v/>
      </c>
      <c r="I57" s="10">
        <f>G57*H57</f>
        <v/>
      </c>
      <c r="J57" s="10">
        <f>SUMIFS($I$5:$I$265,$A$5:$A$265,A57)</f>
        <v/>
      </c>
      <c r="K57" s="20">
        <f>IF(J57=0,0,'تنظیمات'!$B$7*INT(F57*I57/(J57*'تنظیمات'!$B$7)))</f>
        <v/>
      </c>
      <c r="L57" s="10">
        <f>IF(J57=0,0,F57*I57-J57*'تنظیمات'!$B$7*INT(F57*I57/(J57*'تنظیمات'!$B$7)))</f>
        <v/>
      </c>
      <c r="M57" s="10">
        <f>1+COUNTIFS($A$5:$A$265,A57,$L$5:$L$265,"&gt;"&amp;L57)+COUNTIFS($A$5:$A$265,A57,$L$5:$L$265,L57,$D$5:$D$265,"&lt;"&amp;D57)</f>
        <v/>
      </c>
      <c r="N57" s="20">
        <f>IF(J57=0,0,F57-SUMIFS($K$5:$K$265,$A$5:$A$265,A57))</f>
        <v/>
      </c>
      <c r="O57" s="10">
        <f>INT(N57/'تنظیمات'!$B$7)</f>
        <v/>
      </c>
      <c r="P57" s="10">
        <f>N57-O57*'تنظیمات'!$B$7</f>
        <v/>
      </c>
      <c r="Q57" s="20">
        <f>IF(J57=0,0,K57+IF(M57&lt;=O57,'تنظیمات'!$B$7,0)+IF(M57=1,P57,0))</f>
        <v/>
      </c>
      <c r="R57" s="22">
        <f>'سطرهای تسهیم'!F10</f>
        <v/>
      </c>
      <c r="S57" s="22">
        <f>'سطرهای تسهیم'!G10</f>
        <v/>
      </c>
      <c r="T57" s="4">
        <f>IFERROR(INDEX('دسته‌ها'!$D$5:$D$25,MATCH(S57,'دسته‌ها'!$A$5:$A$25,0)),"خیر")</f>
        <v/>
      </c>
    </row>
    <row r="58">
      <c r="A58" s="22">
        <f>'سطرهای تسهیم'!A10</f>
        <v/>
      </c>
      <c r="B58" s="22">
        <f>'سطرهای تسهیم'!B10</f>
        <v/>
      </c>
      <c r="C58" s="22">
        <f>'واحدها'!A13</f>
        <v/>
      </c>
      <c r="D58" s="12">
        <f>'واحدها'!H13</f>
        <v/>
      </c>
      <c r="E58" s="22">
        <f>'سطرهای تسهیم'!D10</f>
        <v/>
      </c>
      <c r="F58" s="19">
        <f>'سطرهای تسهیم'!E10</f>
        <v/>
      </c>
      <c r="G58" s="12">
        <f>IF('واحدها'!F13="بله",'شمول'!J7,0)</f>
        <v/>
      </c>
      <c r="H58" s="10">
        <f>CHOOSE(MATCH(E58,'فهرست‌ها'!$A$4:$A$13,0),1,'واحدها'!E13,'واحدها'!D13*100,'واحدها'!J13,'واحدها'!J13,'وزن‌ها'!J7,'وزن‌ها'!J7,'واحدها'!K13,'واحدها'!L13,0)</f>
        <v/>
      </c>
      <c r="I58" s="10">
        <f>G58*H58</f>
        <v/>
      </c>
      <c r="J58" s="10">
        <f>SUMIFS($I$5:$I$265,$A$5:$A$265,A58)</f>
        <v/>
      </c>
      <c r="K58" s="20">
        <f>IF(J58=0,0,'تنظیمات'!$B$7*INT(F58*I58/(J58*'تنظیمات'!$B$7)))</f>
        <v/>
      </c>
      <c r="L58" s="10">
        <f>IF(J58=0,0,F58*I58-J58*'تنظیمات'!$B$7*INT(F58*I58/(J58*'تنظیمات'!$B$7)))</f>
        <v/>
      </c>
      <c r="M58" s="10">
        <f>1+COUNTIFS($A$5:$A$265,A58,$L$5:$L$265,"&gt;"&amp;L58)+COUNTIFS($A$5:$A$265,A58,$L$5:$L$265,L58,$D$5:$D$265,"&lt;"&amp;D58)</f>
        <v/>
      </c>
      <c r="N58" s="20">
        <f>IF(J58=0,0,F58-SUMIFS($K$5:$K$265,$A$5:$A$265,A58))</f>
        <v/>
      </c>
      <c r="O58" s="10">
        <f>INT(N58/'تنظیمات'!$B$7)</f>
        <v/>
      </c>
      <c r="P58" s="10">
        <f>N58-O58*'تنظیمات'!$B$7</f>
        <v/>
      </c>
      <c r="Q58" s="20">
        <f>IF(J58=0,0,K58+IF(M58&lt;=O58,'تنظیمات'!$B$7,0)+IF(M58=1,P58,0))</f>
        <v/>
      </c>
      <c r="R58" s="22">
        <f>'سطرهای تسهیم'!F10</f>
        <v/>
      </c>
      <c r="S58" s="22">
        <f>'سطرهای تسهیم'!G10</f>
        <v/>
      </c>
      <c r="T58" s="4">
        <f>IFERROR(INDEX('دسته‌ها'!$D$5:$D$25,MATCH(S58,'دسته‌ها'!$A$5:$A$25,0)),"خیر")</f>
        <v/>
      </c>
    </row>
    <row r="59">
      <c r="A59" s="22">
        <f>'سطرهای تسهیم'!A11</f>
        <v/>
      </c>
      <c r="B59" s="22">
        <f>'سطرهای تسهیم'!B11</f>
        <v/>
      </c>
      <c r="C59" s="22">
        <f>'واحدها'!A5</f>
        <v/>
      </c>
      <c r="D59" s="12">
        <f>'واحدها'!H5</f>
        <v/>
      </c>
      <c r="E59" s="22">
        <f>'سطرهای تسهیم'!D11</f>
        <v/>
      </c>
      <c r="F59" s="19">
        <f>'سطرهای تسهیم'!E11</f>
        <v/>
      </c>
      <c r="G59" s="12">
        <f>IF('واحدها'!F5="بله",'شمول'!B8,0)</f>
        <v/>
      </c>
      <c r="H59" s="10">
        <f>CHOOSE(MATCH(E59,'فهرست‌ها'!$A$4:$A$13,0),1,'واحدها'!E5,'واحدها'!D5*100,'واحدها'!J5,'واحدها'!J5,'وزن‌ها'!B8,'وزن‌ها'!B8,'واحدها'!K5,'واحدها'!L5,0)</f>
        <v/>
      </c>
      <c r="I59" s="10">
        <f>G59*H59</f>
        <v/>
      </c>
      <c r="J59" s="10">
        <f>SUMIFS($I$5:$I$265,$A$5:$A$265,A59)</f>
        <v/>
      </c>
      <c r="K59" s="20">
        <f>IF(J59=0,0,'تنظیمات'!$B$7*INT(F59*I59/(J59*'تنظیمات'!$B$7)))</f>
        <v/>
      </c>
      <c r="L59" s="10">
        <f>IF(J59=0,0,F59*I59-J59*'تنظیمات'!$B$7*INT(F59*I59/(J59*'تنظیمات'!$B$7)))</f>
        <v/>
      </c>
      <c r="M59" s="10">
        <f>1+COUNTIFS($A$5:$A$265,A59,$L$5:$L$265,"&gt;"&amp;L59)+COUNTIFS($A$5:$A$265,A59,$L$5:$L$265,L59,$D$5:$D$265,"&lt;"&amp;D59)</f>
        <v/>
      </c>
      <c r="N59" s="20">
        <f>IF(J59=0,0,F59-SUMIFS($K$5:$K$265,$A$5:$A$265,A59))</f>
        <v/>
      </c>
      <c r="O59" s="10">
        <f>INT(N59/'تنظیمات'!$B$7)</f>
        <v/>
      </c>
      <c r="P59" s="10">
        <f>N59-O59*'تنظیمات'!$B$7</f>
        <v/>
      </c>
      <c r="Q59" s="20">
        <f>IF(J59=0,0,K59+IF(M59&lt;=O59,'تنظیمات'!$B$7,0)+IF(M59=1,P59,0))</f>
        <v/>
      </c>
      <c r="R59" s="22">
        <f>'سطرهای تسهیم'!F11</f>
        <v/>
      </c>
      <c r="S59" s="22">
        <f>'سطرهای تسهیم'!G11</f>
        <v/>
      </c>
      <c r="T59" s="4">
        <f>IFERROR(INDEX('دسته‌ها'!$D$5:$D$25,MATCH(S59,'دسته‌ها'!$A$5:$A$25,0)),"خیر")</f>
        <v/>
      </c>
    </row>
    <row r="60">
      <c r="A60" s="22">
        <f>'سطرهای تسهیم'!A11</f>
        <v/>
      </c>
      <c r="B60" s="22">
        <f>'سطرهای تسهیم'!B11</f>
        <v/>
      </c>
      <c r="C60" s="22">
        <f>'واحدها'!A6</f>
        <v/>
      </c>
      <c r="D60" s="12">
        <f>'واحدها'!H6</f>
        <v/>
      </c>
      <c r="E60" s="22">
        <f>'سطرهای تسهیم'!D11</f>
        <v/>
      </c>
      <c r="F60" s="19">
        <f>'سطرهای تسهیم'!E11</f>
        <v/>
      </c>
      <c r="G60" s="12">
        <f>IF('واحدها'!F6="بله",'شمول'!C8,0)</f>
        <v/>
      </c>
      <c r="H60" s="10">
        <f>CHOOSE(MATCH(E60,'فهرست‌ها'!$A$4:$A$13,0),1,'واحدها'!E6,'واحدها'!D6*100,'واحدها'!J6,'واحدها'!J6,'وزن‌ها'!C8,'وزن‌ها'!C8,'واحدها'!K6,'واحدها'!L6,0)</f>
        <v/>
      </c>
      <c r="I60" s="10">
        <f>G60*H60</f>
        <v/>
      </c>
      <c r="J60" s="10">
        <f>SUMIFS($I$5:$I$265,$A$5:$A$265,A60)</f>
        <v/>
      </c>
      <c r="K60" s="20">
        <f>IF(J60=0,0,'تنظیمات'!$B$7*INT(F60*I60/(J60*'تنظیمات'!$B$7)))</f>
        <v/>
      </c>
      <c r="L60" s="10">
        <f>IF(J60=0,0,F60*I60-J60*'تنظیمات'!$B$7*INT(F60*I60/(J60*'تنظیمات'!$B$7)))</f>
        <v/>
      </c>
      <c r="M60" s="10">
        <f>1+COUNTIFS($A$5:$A$265,A60,$L$5:$L$265,"&gt;"&amp;L60)+COUNTIFS($A$5:$A$265,A60,$L$5:$L$265,L60,$D$5:$D$265,"&lt;"&amp;D60)</f>
        <v/>
      </c>
      <c r="N60" s="20">
        <f>IF(J60=0,0,F60-SUMIFS($K$5:$K$265,$A$5:$A$265,A60))</f>
        <v/>
      </c>
      <c r="O60" s="10">
        <f>INT(N60/'تنظیمات'!$B$7)</f>
        <v/>
      </c>
      <c r="P60" s="10">
        <f>N60-O60*'تنظیمات'!$B$7</f>
        <v/>
      </c>
      <c r="Q60" s="20">
        <f>IF(J60=0,0,K60+IF(M60&lt;=O60,'تنظیمات'!$B$7,0)+IF(M60=1,P60,0))</f>
        <v/>
      </c>
      <c r="R60" s="22">
        <f>'سطرهای تسهیم'!F11</f>
        <v/>
      </c>
      <c r="S60" s="22">
        <f>'سطرهای تسهیم'!G11</f>
        <v/>
      </c>
      <c r="T60" s="4">
        <f>IFERROR(INDEX('دسته‌ها'!$D$5:$D$25,MATCH(S60,'دسته‌ها'!$A$5:$A$25,0)),"خیر")</f>
        <v/>
      </c>
    </row>
    <row r="61">
      <c r="A61" s="22">
        <f>'سطرهای تسهیم'!A11</f>
        <v/>
      </c>
      <c r="B61" s="22">
        <f>'سطرهای تسهیم'!B11</f>
        <v/>
      </c>
      <c r="C61" s="22">
        <f>'واحدها'!A7</f>
        <v/>
      </c>
      <c r="D61" s="12">
        <f>'واحدها'!H7</f>
        <v/>
      </c>
      <c r="E61" s="22">
        <f>'سطرهای تسهیم'!D11</f>
        <v/>
      </c>
      <c r="F61" s="19">
        <f>'سطرهای تسهیم'!E11</f>
        <v/>
      </c>
      <c r="G61" s="12">
        <f>IF('واحدها'!F7="بله",'شمول'!D8,0)</f>
        <v/>
      </c>
      <c r="H61" s="10">
        <f>CHOOSE(MATCH(E61,'فهرست‌ها'!$A$4:$A$13,0),1,'واحدها'!E7,'واحدها'!D7*100,'واحدها'!J7,'واحدها'!J7,'وزن‌ها'!D8,'وزن‌ها'!D8,'واحدها'!K7,'واحدها'!L7,0)</f>
        <v/>
      </c>
      <c r="I61" s="10">
        <f>G61*H61</f>
        <v/>
      </c>
      <c r="J61" s="10">
        <f>SUMIFS($I$5:$I$265,$A$5:$A$265,A61)</f>
        <v/>
      </c>
      <c r="K61" s="20">
        <f>IF(J61=0,0,'تنظیمات'!$B$7*INT(F61*I61/(J61*'تنظیمات'!$B$7)))</f>
        <v/>
      </c>
      <c r="L61" s="10">
        <f>IF(J61=0,0,F61*I61-J61*'تنظیمات'!$B$7*INT(F61*I61/(J61*'تنظیمات'!$B$7)))</f>
        <v/>
      </c>
      <c r="M61" s="10">
        <f>1+COUNTIFS($A$5:$A$265,A61,$L$5:$L$265,"&gt;"&amp;L61)+COUNTIFS($A$5:$A$265,A61,$L$5:$L$265,L61,$D$5:$D$265,"&lt;"&amp;D61)</f>
        <v/>
      </c>
      <c r="N61" s="20">
        <f>IF(J61=0,0,F61-SUMIFS($K$5:$K$265,$A$5:$A$265,A61))</f>
        <v/>
      </c>
      <c r="O61" s="10">
        <f>INT(N61/'تنظیمات'!$B$7)</f>
        <v/>
      </c>
      <c r="P61" s="10">
        <f>N61-O61*'تنظیمات'!$B$7</f>
        <v/>
      </c>
      <c r="Q61" s="20">
        <f>IF(J61=0,0,K61+IF(M61&lt;=O61,'تنظیمات'!$B$7,0)+IF(M61=1,P61,0))</f>
        <v/>
      </c>
      <c r="R61" s="22">
        <f>'سطرهای تسهیم'!F11</f>
        <v/>
      </c>
      <c r="S61" s="22">
        <f>'سطرهای تسهیم'!G11</f>
        <v/>
      </c>
      <c r="T61" s="4">
        <f>IFERROR(INDEX('دسته‌ها'!$D$5:$D$25,MATCH(S61,'دسته‌ها'!$A$5:$A$25,0)),"خیر")</f>
        <v/>
      </c>
    </row>
    <row r="62">
      <c r="A62" s="22">
        <f>'سطرهای تسهیم'!A11</f>
        <v/>
      </c>
      <c r="B62" s="22">
        <f>'سطرهای تسهیم'!B11</f>
        <v/>
      </c>
      <c r="C62" s="22">
        <f>'واحدها'!A8</f>
        <v/>
      </c>
      <c r="D62" s="12">
        <f>'واحدها'!H8</f>
        <v/>
      </c>
      <c r="E62" s="22">
        <f>'سطرهای تسهیم'!D11</f>
        <v/>
      </c>
      <c r="F62" s="19">
        <f>'سطرهای تسهیم'!E11</f>
        <v/>
      </c>
      <c r="G62" s="12">
        <f>IF('واحدها'!F8="بله",'شمول'!E8,0)</f>
        <v/>
      </c>
      <c r="H62" s="10">
        <f>CHOOSE(MATCH(E62,'فهرست‌ها'!$A$4:$A$13,0),1,'واحدها'!E8,'واحدها'!D8*100,'واحدها'!J8,'واحدها'!J8,'وزن‌ها'!E8,'وزن‌ها'!E8,'واحدها'!K8,'واحدها'!L8,0)</f>
        <v/>
      </c>
      <c r="I62" s="10">
        <f>G62*H62</f>
        <v/>
      </c>
      <c r="J62" s="10">
        <f>SUMIFS($I$5:$I$265,$A$5:$A$265,A62)</f>
        <v/>
      </c>
      <c r="K62" s="20">
        <f>IF(J62=0,0,'تنظیمات'!$B$7*INT(F62*I62/(J62*'تنظیمات'!$B$7)))</f>
        <v/>
      </c>
      <c r="L62" s="10">
        <f>IF(J62=0,0,F62*I62-J62*'تنظیمات'!$B$7*INT(F62*I62/(J62*'تنظیمات'!$B$7)))</f>
        <v/>
      </c>
      <c r="M62" s="10">
        <f>1+COUNTIFS($A$5:$A$265,A62,$L$5:$L$265,"&gt;"&amp;L62)+COUNTIFS($A$5:$A$265,A62,$L$5:$L$265,L62,$D$5:$D$265,"&lt;"&amp;D62)</f>
        <v/>
      </c>
      <c r="N62" s="20">
        <f>IF(J62=0,0,F62-SUMIFS($K$5:$K$265,$A$5:$A$265,A62))</f>
        <v/>
      </c>
      <c r="O62" s="10">
        <f>INT(N62/'تنظیمات'!$B$7)</f>
        <v/>
      </c>
      <c r="P62" s="10">
        <f>N62-O62*'تنظیمات'!$B$7</f>
        <v/>
      </c>
      <c r="Q62" s="20">
        <f>IF(J62=0,0,K62+IF(M62&lt;=O62,'تنظیمات'!$B$7,0)+IF(M62=1,P62,0))</f>
        <v/>
      </c>
      <c r="R62" s="22">
        <f>'سطرهای تسهیم'!F11</f>
        <v/>
      </c>
      <c r="S62" s="22">
        <f>'سطرهای تسهیم'!G11</f>
        <v/>
      </c>
      <c r="T62" s="4">
        <f>IFERROR(INDEX('دسته‌ها'!$D$5:$D$25,MATCH(S62,'دسته‌ها'!$A$5:$A$25,0)),"خیر")</f>
        <v/>
      </c>
    </row>
    <row r="63">
      <c r="A63" s="22">
        <f>'سطرهای تسهیم'!A11</f>
        <v/>
      </c>
      <c r="B63" s="22">
        <f>'سطرهای تسهیم'!B11</f>
        <v/>
      </c>
      <c r="C63" s="22">
        <f>'واحدها'!A9</f>
        <v/>
      </c>
      <c r="D63" s="12">
        <f>'واحدها'!H9</f>
        <v/>
      </c>
      <c r="E63" s="22">
        <f>'سطرهای تسهیم'!D11</f>
        <v/>
      </c>
      <c r="F63" s="19">
        <f>'سطرهای تسهیم'!E11</f>
        <v/>
      </c>
      <c r="G63" s="12">
        <f>IF('واحدها'!F9="بله",'شمول'!F8,0)</f>
        <v/>
      </c>
      <c r="H63" s="10">
        <f>CHOOSE(MATCH(E63,'فهرست‌ها'!$A$4:$A$13,0),1,'واحدها'!E9,'واحدها'!D9*100,'واحدها'!J9,'واحدها'!J9,'وزن‌ها'!F8,'وزن‌ها'!F8,'واحدها'!K9,'واحدها'!L9,0)</f>
        <v/>
      </c>
      <c r="I63" s="10">
        <f>G63*H63</f>
        <v/>
      </c>
      <c r="J63" s="10">
        <f>SUMIFS($I$5:$I$265,$A$5:$A$265,A63)</f>
        <v/>
      </c>
      <c r="K63" s="20">
        <f>IF(J63=0,0,'تنظیمات'!$B$7*INT(F63*I63/(J63*'تنظیمات'!$B$7)))</f>
        <v/>
      </c>
      <c r="L63" s="10">
        <f>IF(J63=0,0,F63*I63-J63*'تنظیمات'!$B$7*INT(F63*I63/(J63*'تنظیمات'!$B$7)))</f>
        <v/>
      </c>
      <c r="M63" s="10">
        <f>1+COUNTIFS($A$5:$A$265,A63,$L$5:$L$265,"&gt;"&amp;L63)+COUNTIFS($A$5:$A$265,A63,$L$5:$L$265,L63,$D$5:$D$265,"&lt;"&amp;D63)</f>
        <v/>
      </c>
      <c r="N63" s="20">
        <f>IF(J63=0,0,F63-SUMIFS($K$5:$K$265,$A$5:$A$265,A63))</f>
        <v/>
      </c>
      <c r="O63" s="10">
        <f>INT(N63/'تنظیمات'!$B$7)</f>
        <v/>
      </c>
      <c r="P63" s="10">
        <f>N63-O63*'تنظیمات'!$B$7</f>
        <v/>
      </c>
      <c r="Q63" s="20">
        <f>IF(J63=0,0,K63+IF(M63&lt;=O63,'تنظیمات'!$B$7,0)+IF(M63=1,P63,0))</f>
        <v/>
      </c>
      <c r="R63" s="22">
        <f>'سطرهای تسهیم'!F11</f>
        <v/>
      </c>
      <c r="S63" s="22">
        <f>'سطرهای تسهیم'!G11</f>
        <v/>
      </c>
      <c r="T63" s="4">
        <f>IFERROR(INDEX('دسته‌ها'!$D$5:$D$25,MATCH(S63,'دسته‌ها'!$A$5:$A$25,0)),"خیر")</f>
        <v/>
      </c>
    </row>
    <row r="64">
      <c r="A64" s="22">
        <f>'سطرهای تسهیم'!A11</f>
        <v/>
      </c>
      <c r="B64" s="22">
        <f>'سطرهای تسهیم'!B11</f>
        <v/>
      </c>
      <c r="C64" s="22">
        <f>'واحدها'!A10</f>
        <v/>
      </c>
      <c r="D64" s="12">
        <f>'واحدها'!H10</f>
        <v/>
      </c>
      <c r="E64" s="22">
        <f>'سطرهای تسهیم'!D11</f>
        <v/>
      </c>
      <c r="F64" s="19">
        <f>'سطرهای تسهیم'!E11</f>
        <v/>
      </c>
      <c r="G64" s="12">
        <f>IF('واحدها'!F10="بله",'شمول'!G8,0)</f>
        <v/>
      </c>
      <c r="H64" s="10">
        <f>CHOOSE(MATCH(E64,'فهرست‌ها'!$A$4:$A$13,0),1,'واحدها'!E10,'واحدها'!D10*100,'واحدها'!J10,'واحدها'!J10,'وزن‌ها'!G8,'وزن‌ها'!G8,'واحدها'!K10,'واحدها'!L10,0)</f>
        <v/>
      </c>
      <c r="I64" s="10">
        <f>G64*H64</f>
        <v/>
      </c>
      <c r="J64" s="10">
        <f>SUMIFS($I$5:$I$265,$A$5:$A$265,A64)</f>
        <v/>
      </c>
      <c r="K64" s="20">
        <f>IF(J64=0,0,'تنظیمات'!$B$7*INT(F64*I64/(J64*'تنظیمات'!$B$7)))</f>
        <v/>
      </c>
      <c r="L64" s="10">
        <f>IF(J64=0,0,F64*I64-J64*'تنظیمات'!$B$7*INT(F64*I64/(J64*'تنظیمات'!$B$7)))</f>
        <v/>
      </c>
      <c r="M64" s="10">
        <f>1+COUNTIFS($A$5:$A$265,A64,$L$5:$L$265,"&gt;"&amp;L64)+COUNTIFS($A$5:$A$265,A64,$L$5:$L$265,L64,$D$5:$D$265,"&lt;"&amp;D64)</f>
        <v/>
      </c>
      <c r="N64" s="20">
        <f>IF(J64=0,0,F64-SUMIFS($K$5:$K$265,$A$5:$A$265,A64))</f>
        <v/>
      </c>
      <c r="O64" s="10">
        <f>INT(N64/'تنظیمات'!$B$7)</f>
        <v/>
      </c>
      <c r="P64" s="10">
        <f>N64-O64*'تنظیمات'!$B$7</f>
        <v/>
      </c>
      <c r="Q64" s="20">
        <f>IF(J64=0,0,K64+IF(M64&lt;=O64,'تنظیمات'!$B$7,0)+IF(M64=1,P64,0))</f>
        <v/>
      </c>
      <c r="R64" s="22">
        <f>'سطرهای تسهیم'!F11</f>
        <v/>
      </c>
      <c r="S64" s="22">
        <f>'سطرهای تسهیم'!G11</f>
        <v/>
      </c>
      <c r="T64" s="4">
        <f>IFERROR(INDEX('دسته‌ها'!$D$5:$D$25,MATCH(S64,'دسته‌ها'!$A$5:$A$25,0)),"خیر")</f>
        <v/>
      </c>
    </row>
    <row r="65">
      <c r="A65" s="22">
        <f>'سطرهای تسهیم'!A11</f>
        <v/>
      </c>
      <c r="B65" s="22">
        <f>'سطرهای تسهیم'!B11</f>
        <v/>
      </c>
      <c r="C65" s="22">
        <f>'واحدها'!A11</f>
        <v/>
      </c>
      <c r="D65" s="12">
        <f>'واحدها'!H11</f>
        <v/>
      </c>
      <c r="E65" s="22">
        <f>'سطرهای تسهیم'!D11</f>
        <v/>
      </c>
      <c r="F65" s="19">
        <f>'سطرهای تسهیم'!E11</f>
        <v/>
      </c>
      <c r="G65" s="12">
        <f>IF('واحدها'!F11="بله",'شمول'!H8,0)</f>
        <v/>
      </c>
      <c r="H65" s="10">
        <f>CHOOSE(MATCH(E65,'فهرست‌ها'!$A$4:$A$13,0),1,'واحدها'!E11,'واحدها'!D11*100,'واحدها'!J11,'واحدها'!J11,'وزن‌ها'!H8,'وزن‌ها'!H8,'واحدها'!K11,'واحدها'!L11,0)</f>
        <v/>
      </c>
      <c r="I65" s="10">
        <f>G65*H65</f>
        <v/>
      </c>
      <c r="J65" s="10">
        <f>SUMIFS($I$5:$I$265,$A$5:$A$265,A65)</f>
        <v/>
      </c>
      <c r="K65" s="20">
        <f>IF(J65=0,0,'تنظیمات'!$B$7*INT(F65*I65/(J65*'تنظیمات'!$B$7)))</f>
        <v/>
      </c>
      <c r="L65" s="10">
        <f>IF(J65=0,0,F65*I65-J65*'تنظیمات'!$B$7*INT(F65*I65/(J65*'تنظیمات'!$B$7)))</f>
        <v/>
      </c>
      <c r="M65" s="10">
        <f>1+COUNTIFS($A$5:$A$265,A65,$L$5:$L$265,"&gt;"&amp;L65)+COUNTIFS($A$5:$A$265,A65,$L$5:$L$265,L65,$D$5:$D$265,"&lt;"&amp;D65)</f>
        <v/>
      </c>
      <c r="N65" s="20">
        <f>IF(J65=0,0,F65-SUMIFS($K$5:$K$265,$A$5:$A$265,A65))</f>
        <v/>
      </c>
      <c r="O65" s="10">
        <f>INT(N65/'تنظیمات'!$B$7)</f>
        <v/>
      </c>
      <c r="P65" s="10">
        <f>N65-O65*'تنظیمات'!$B$7</f>
        <v/>
      </c>
      <c r="Q65" s="20">
        <f>IF(J65=0,0,K65+IF(M65&lt;=O65,'تنظیمات'!$B$7,0)+IF(M65=1,P65,0))</f>
        <v/>
      </c>
      <c r="R65" s="22">
        <f>'سطرهای تسهیم'!F11</f>
        <v/>
      </c>
      <c r="S65" s="22">
        <f>'سطرهای تسهیم'!G11</f>
        <v/>
      </c>
      <c r="T65" s="4">
        <f>IFERROR(INDEX('دسته‌ها'!$D$5:$D$25,MATCH(S65,'دسته‌ها'!$A$5:$A$25,0)),"خیر")</f>
        <v/>
      </c>
    </row>
    <row r="66">
      <c r="A66" s="22">
        <f>'سطرهای تسهیم'!A11</f>
        <v/>
      </c>
      <c r="B66" s="22">
        <f>'سطرهای تسهیم'!B11</f>
        <v/>
      </c>
      <c r="C66" s="22">
        <f>'واحدها'!A12</f>
        <v/>
      </c>
      <c r="D66" s="12">
        <f>'واحدها'!H12</f>
        <v/>
      </c>
      <c r="E66" s="22">
        <f>'سطرهای تسهیم'!D11</f>
        <v/>
      </c>
      <c r="F66" s="19">
        <f>'سطرهای تسهیم'!E11</f>
        <v/>
      </c>
      <c r="G66" s="12">
        <f>IF('واحدها'!F12="بله",'شمول'!I8,0)</f>
        <v/>
      </c>
      <c r="H66" s="10">
        <f>CHOOSE(MATCH(E66,'فهرست‌ها'!$A$4:$A$13,0),1,'واحدها'!E12,'واحدها'!D12*100,'واحدها'!J12,'واحدها'!J12,'وزن‌ها'!I8,'وزن‌ها'!I8,'واحدها'!K12,'واحدها'!L12,0)</f>
        <v/>
      </c>
      <c r="I66" s="10">
        <f>G66*H66</f>
        <v/>
      </c>
      <c r="J66" s="10">
        <f>SUMIFS($I$5:$I$265,$A$5:$A$265,A66)</f>
        <v/>
      </c>
      <c r="K66" s="20">
        <f>IF(J66=0,0,'تنظیمات'!$B$7*INT(F66*I66/(J66*'تنظیمات'!$B$7)))</f>
        <v/>
      </c>
      <c r="L66" s="10">
        <f>IF(J66=0,0,F66*I66-J66*'تنظیمات'!$B$7*INT(F66*I66/(J66*'تنظیمات'!$B$7)))</f>
        <v/>
      </c>
      <c r="M66" s="10">
        <f>1+COUNTIFS($A$5:$A$265,A66,$L$5:$L$265,"&gt;"&amp;L66)+COUNTIFS($A$5:$A$265,A66,$L$5:$L$265,L66,$D$5:$D$265,"&lt;"&amp;D66)</f>
        <v/>
      </c>
      <c r="N66" s="20">
        <f>IF(J66=0,0,F66-SUMIFS($K$5:$K$265,$A$5:$A$265,A66))</f>
        <v/>
      </c>
      <c r="O66" s="10">
        <f>INT(N66/'تنظیمات'!$B$7)</f>
        <v/>
      </c>
      <c r="P66" s="10">
        <f>N66-O66*'تنظیمات'!$B$7</f>
        <v/>
      </c>
      <c r="Q66" s="20">
        <f>IF(J66=0,0,K66+IF(M66&lt;=O66,'تنظیمات'!$B$7,0)+IF(M66=1,P66,0))</f>
        <v/>
      </c>
      <c r="R66" s="22">
        <f>'سطرهای تسهیم'!F11</f>
        <v/>
      </c>
      <c r="S66" s="22">
        <f>'سطرهای تسهیم'!G11</f>
        <v/>
      </c>
      <c r="T66" s="4">
        <f>IFERROR(INDEX('دسته‌ها'!$D$5:$D$25,MATCH(S66,'دسته‌ها'!$A$5:$A$25,0)),"خیر")</f>
        <v/>
      </c>
    </row>
    <row r="67">
      <c r="A67" s="22">
        <f>'سطرهای تسهیم'!A11</f>
        <v/>
      </c>
      <c r="B67" s="22">
        <f>'سطرهای تسهیم'!B11</f>
        <v/>
      </c>
      <c r="C67" s="22">
        <f>'واحدها'!A13</f>
        <v/>
      </c>
      <c r="D67" s="12">
        <f>'واحدها'!H13</f>
        <v/>
      </c>
      <c r="E67" s="22">
        <f>'سطرهای تسهیم'!D11</f>
        <v/>
      </c>
      <c r="F67" s="19">
        <f>'سطرهای تسهیم'!E11</f>
        <v/>
      </c>
      <c r="G67" s="12">
        <f>IF('واحدها'!F13="بله",'شمول'!J8,0)</f>
        <v/>
      </c>
      <c r="H67" s="10">
        <f>CHOOSE(MATCH(E67,'فهرست‌ها'!$A$4:$A$13,0),1,'واحدها'!E13,'واحدها'!D13*100,'واحدها'!J13,'واحدها'!J13,'وزن‌ها'!J8,'وزن‌ها'!J8,'واحدها'!K13,'واحدها'!L13,0)</f>
        <v/>
      </c>
      <c r="I67" s="10">
        <f>G67*H67</f>
        <v/>
      </c>
      <c r="J67" s="10">
        <f>SUMIFS($I$5:$I$265,$A$5:$A$265,A67)</f>
        <v/>
      </c>
      <c r="K67" s="20">
        <f>IF(J67=0,0,'تنظیمات'!$B$7*INT(F67*I67/(J67*'تنظیمات'!$B$7)))</f>
        <v/>
      </c>
      <c r="L67" s="10">
        <f>IF(J67=0,0,F67*I67-J67*'تنظیمات'!$B$7*INT(F67*I67/(J67*'تنظیمات'!$B$7)))</f>
        <v/>
      </c>
      <c r="M67" s="10">
        <f>1+COUNTIFS($A$5:$A$265,A67,$L$5:$L$265,"&gt;"&amp;L67)+COUNTIFS($A$5:$A$265,A67,$L$5:$L$265,L67,$D$5:$D$265,"&lt;"&amp;D67)</f>
        <v/>
      </c>
      <c r="N67" s="20">
        <f>IF(J67=0,0,F67-SUMIFS($K$5:$K$265,$A$5:$A$265,A67))</f>
        <v/>
      </c>
      <c r="O67" s="10">
        <f>INT(N67/'تنظیمات'!$B$7)</f>
        <v/>
      </c>
      <c r="P67" s="10">
        <f>N67-O67*'تنظیمات'!$B$7</f>
        <v/>
      </c>
      <c r="Q67" s="20">
        <f>IF(J67=0,0,K67+IF(M67&lt;=O67,'تنظیمات'!$B$7,0)+IF(M67=1,P67,0))</f>
        <v/>
      </c>
      <c r="R67" s="22">
        <f>'سطرهای تسهیم'!F11</f>
        <v/>
      </c>
      <c r="S67" s="22">
        <f>'سطرهای تسهیم'!G11</f>
        <v/>
      </c>
      <c r="T67" s="4">
        <f>IFERROR(INDEX('دسته‌ها'!$D$5:$D$25,MATCH(S67,'دسته‌ها'!$A$5:$A$25,0)),"خیر")</f>
        <v/>
      </c>
    </row>
    <row r="68">
      <c r="A68" s="22">
        <f>'سطرهای تسهیم'!A12</f>
        <v/>
      </c>
      <c r="B68" s="22">
        <f>'سطرهای تسهیم'!B12</f>
        <v/>
      </c>
      <c r="C68" s="22">
        <f>'واحدها'!A5</f>
        <v/>
      </c>
      <c r="D68" s="12">
        <f>'واحدها'!H5</f>
        <v/>
      </c>
      <c r="E68" s="22">
        <f>'سطرهای تسهیم'!D12</f>
        <v/>
      </c>
      <c r="F68" s="19">
        <f>'سطرهای تسهیم'!E12</f>
        <v/>
      </c>
      <c r="G68" s="12">
        <f>IF('واحدها'!F5="بله",'شمول'!B8,0)</f>
        <v/>
      </c>
      <c r="H68" s="10">
        <f>CHOOSE(MATCH(E68,'فهرست‌ها'!$A$4:$A$13,0),1,'واحدها'!E5,'واحدها'!D5*100,'واحدها'!J5,'واحدها'!J5,'وزن‌ها'!B8,'وزن‌ها'!B8,'واحدها'!K5,'واحدها'!L5,0)</f>
        <v/>
      </c>
      <c r="I68" s="10">
        <f>G68*H68</f>
        <v/>
      </c>
      <c r="J68" s="10">
        <f>SUMIFS($I$5:$I$265,$A$5:$A$265,A68)</f>
        <v/>
      </c>
      <c r="K68" s="20">
        <f>IF(J68=0,0,'تنظیمات'!$B$7*INT(F68*I68/(J68*'تنظیمات'!$B$7)))</f>
        <v/>
      </c>
      <c r="L68" s="10">
        <f>IF(J68=0,0,F68*I68-J68*'تنظیمات'!$B$7*INT(F68*I68/(J68*'تنظیمات'!$B$7)))</f>
        <v/>
      </c>
      <c r="M68" s="10">
        <f>1+COUNTIFS($A$5:$A$265,A68,$L$5:$L$265,"&gt;"&amp;L68)+COUNTIFS($A$5:$A$265,A68,$L$5:$L$265,L68,$D$5:$D$265,"&lt;"&amp;D68)</f>
        <v/>
      </c>
      <c r="N68" s="20">
        <f>IF(J68=0,0,F68-SUMIFS($K$5:$K$265,$A$5:$A$265,A68))</f>
        <v/>
      </c>
      <c r="O68" s="10">
        <f>INT(N68/'تنظیمات'!$B$7)</f>
        <v/>
      </c>
      <c r="P68" s="10">
        <f>N68-O68*'تنظیمات'!$B$7</f>
        <v/>
      </c>
      <c r="Q68" s="20">
        <f>IF(J68=0,0,K68+IF(M68&lt;=O68,'تنظیمات'!$B$7,0)+IF(M68=1,P68,0))</f>
        <v/>
      </c>
      <c r="R68" s="22">
        <f>'سطرهای تسهیم'!F12</f>
        <v/>
      </c>
      <c r="S68" s="22">
        <f>'سطرهای تسهیم'!G12</f>
        <v/>
      </c>
      <c r="T68" s="4">
        <f>IFERROR(INDEX('دسته‌ها'!$D$5:$D$25,MATCH(S68,'دسته‌ها'!$A$5:$A$25,0)),"خیر")</f>
        <v/>
      </c>
    </row>
    <row r="69">
      <c r="A69" s="22">
        <f>'سطرهای تسهیم'!A12</f>
        <v/>
      </c>
      <c r="B69" s="22">
        <f>'سطرهای تسهیم'!B12</f>
        <v/>
      </c>
      <c r="C69" s="22">
        <f>'واحدها'!A6</f>
        <v/>
      </c>
      <c r="D69" s="12">
        <f>'واحدها'!H6</f>
        <v/>
      </c>
      <c r="E69" s="22">
        <f>'سطرهای تسهیم'!D12</f>
        <v/>
      </c>
      <c r="F69" s="19">
        <f>'سطرهای تسهیم'!E12</f>
        <v/>
      </c>
      <c r="G69" s="12">
        <f>IF('واحدها'!F6="بله",'شمول'!C8,0)</f>
        <v/>
      </c>
      <c r="H69" s="10">
        <f>CHOOSE(MATCH(E69,'فهرست‌ها'!$A$4:$A$13,0),1,'واحدها'!E6,'واحدها'!D6*100,'واحدها'!J6,'واحدها'!J6,'وزن‌ها'!C8,'وزن‌ها'!C8,'واحدها'!K6,'واحدها'!L6,0)</f>
        <v/>
      </c>
      <c r="I69" s="10">
        <f>G69*H69</f>
        <v/>
      </c>
      <c r="J69" s="10">
        <f>SUMIFS($I$5:$I$265,$A$5:$A$265,A69)</f>
        <v/>
      </c>
      <c r="K69" s="20">
        <f>IF(J69=0,0,'تنظیمات'!$B$7*INT(F69*I69/(J69*'تنظیمات'!$B$7)))</f>
        <v/>
      </c>
      <c r="L69" s="10">
        <f>IF(J69=0,0,F69*I69-J69*'تنظیمات'!$B$7*INT(F69*I69/(J69*'تنظیمات'!$B$7)))</f>
        <v/>
      </c>
      <c r="M69" s="10">
        <f>1+COUNTIFS($A$5:$A$265,A69,$L$5:$L$265,"&gt;"&amp;L69)+COUNTIFS($A$5:$A$265,A69,$L$5:$L$265,L69,$D$5:$D$265,"&lt;"&amp;D69)</f>
        <v/>
      </c>
      <c r="N69" s="20">
        <f>IF(J69=0,0,F69-SUMIFS($K$5:$K$265,$A$5:$A$265,A69))</f>
        <v/>
      </c>
      <c r="O69" s="10">
        <f>INT(N69/'تنظیمات'!$B$7)</f>
        <v/>
      </c>
      <c r="P69" s="10">
        <f>N69-O69*'تنظیمات'!$B$7</f>
        <v/>
      </c>
      <c r="Q69" s="20">
        <f>IF(J69=0,0,K69+IF(M69&lt;=O69,'تنظیمات'!$B$7,0)+IF(M69=1,P69,0))</f>
        <v/>
      </c>
      <c r="R69" s="22">
        <f>'سطرهای تسهیم'!F12</f>
        <v/>
      </c>
      <c r="S69" s="22">
        <f>'سطرهای تسهیم'!G12</f>
        <v/>
      </c>
      <c r="T69" s="4">
        <f>IFERROR(INDEX('دسته‌ها'!$D$5:$D$25,MATCH(S69,'دسته‌ها'!$A$5:$A$25,0)),"خیر")</f>
        <v/>
      </c>
    </row>
    <row r="70">
      <c r="A70" s="22">
        <f>'سطرهای تسهیم'!A12</f>
        <v/>
      </c>
      <c r="B70" s="22">
        <f>'سطرهای تسهیم'!B12</f>
        <v/>
      </c>
      <c r="C70" s="22">
        <f>'واحدها'!A7</f>
        <v/>
      </c>
      <c r="D70" s="12">
        <f>'واحدها'!H7</f>
        <v/>
      </c>
      <c r="E70" s="22">
        <f>'سطرهای تسهیم'!D12</f>
        <v/>
      </c>
      <c r="F70" s="19">
        <f>'سطرهای تسهیم'!E12</f>
        <v/>
      </c>
      <c r="G70" s="12">
        <f>IF('واحدها'!F7="بله",'شمول'!D8,0)</f>
        <v/>
      </c>
      <c r="H70" s="10">
        <f>CHOOSE(MATCH(E70,'فهرست‌ها'!$A$4:$A$13,0),1,'واحدها'!E7,'واحدها'!D7*100,'واحدها'!J7,'واحدها'!J7,'وزن‌ها'!D8,'وزن‌ها'!D8,'واحدها'!K7,'واحدها'!L7,0)</f>
        <v/>
      </c>
      <c r="I70" s="10">
        <f>G70*H70</f>
        <v/>
      </c>
      <c r="J70" s="10">
        <f>SUMIFS($I$5:$I$265,$A$5:$A$265,A70)</f>
        <v/>
      </c>
      <c r="K70" s="20">
        <f>IF(J70=0,0,'تنظیمات'!$B$7*INT(F70*I70/(J70*'تنظیمات'!$B$7)))</f>
        <v/>
      </c>
      <c r="L70" s="10">
        <f>IF(J70=0,0,F70*I70-J70*'تنظیمات'!$B$7*INT(F70*I70/(J70*'تنظیمات'!$B$7)))</f>
        <v/>
      </c>
      <c r="M70" s="10">
        <f>1+COUNTIFS($A$5:$A$265,A70,$L$5:$L$265,"&gt;"&amp;L70)+COUNTIFS($A$5:$A$265,A70,$L$5:$L$265,L70,$D$5:$D$265,"&lt;"&amp;D70)</f>
        <v/>
      </c>
      <c r="N70" s="20">
        <f>IF(J70=0,0,F70-SUMIFS($K$5:$K$265,$A$5:$A$265,A70))</f>
        <v/>
      </c>
      <c r="O70" s="10">
        <f>INT(N70/'تنظیمات'!$B$7)</f>
        <v/>
      </c>
      <c r="P70" s="10">
        <f>N70-O70*'تنظیمات'!$B$7</f>
        <v/>
      </c>
      <c r="Q70" s="20">
        <f>IF(J70=0,0,K70+IF(M70&lt;=O70,'تنظیمات'!$B$7,0)+IF(M70=1,P70,0))</f>
        <v/>
      </c>
      <c r="R70" s="22">
        <f>'سطرهای تسهیم'!F12</f>
        <v/>
      </c>
      <c r="S70" s="22">
        <f>'سطرهای تسهیم'!G12</f>
        <v/>
      </c>
      <c r="T70" s="4">
        <f>IFERROR(INDEX('دسته‌ها'!$D$5:$D$25,MATCH(S70,'دسته‌ها'!$A$5:$A$25,0)),"خیر")</f>
        <v/>
      </c>
    </row>
    <row r="71">
      <c r="A71" s="22">
        <f>'سطرهای تسهیم'!A12</f>
        <v/>
      </c>
      <c r="B71" s="22">
        <f>'سطرهای تسهیم'!B12</f>
        <v/>
      </c>
      <c r="C71" s="22">
        <f>'واحدها'!A8</f>
        <v/>
      </c>
      <c r="D71" s="12">
        <f>'واحدها'!H8</f>
        <v/>
      </c>
      <c r="E71" s="22">
        <f>'سطرهای تسهیم'!D12</f>
        <v/>
      </c>
      <c r="F71" s="19">
        <f>'سطرهای تسهیم'!E12</f>
        <v/>
      </c>
      <c r="G71" s="12">
        <f>IF('واحدها'!F8="بله",'شمول'!E8,0)</f>
        <v/>
      </c>
      <c r="H71" s="10">
        <f>CHOOSE(MATCH(E71,'فهرست‌ها'!$A$4:$A$13,0),1,'واحدها'!E8,'واحدها'!D8*100,'واحدها'!J8,'واحدها'!J8,'وزن‌ها'!E8,'وزن‌ها'!E8,'واحدها'!K8,'واحدها'!L8,0)</f>
        <v/>
      </c>
      <c r="I71" s="10">
        <f>G71*H71</f>
        <v/>
      </c>
      <c r="J71" s="10">
        <f>SUMIFS($I$5:$I$265,$A$5:$A$265,A71)</f>
        <v/>
      </c>
      <c r="K71" s="20">
        <f>IF(J71=0,0,'تنظیمات'!$B$7*INT(F71*I71/(J71*'تنظیمات'!$B$7)))</f>
        <v/>
      </c>
      <c r="L71" s="10">
        <f>IF(J71=0,0,F71*I71-J71*'تنظیمات'!$B$7*INT(F71*I71/(J71*'تنظیمات'!$B$7)))</f>
        <v/>
      </c>
      <c r="M71" s="10">
        <f>1+COUNTIFS($A$5:$A$265,A71,$L$5:$L$265,"&gt;"&amp;L71)+COUNTIFS($A$5:$A$265,A71,$L$5:$L$265,L71,$D$5:$D$265,"&lt;"&amp;D71)</f>
        <v/>
      </c>
      <c r="N71" s="20">
        <f>IF(J71=0,0,F71-SUMIFS($K$5:$K$265,$A$5:$A$265,A71))</f>
        <v/>
      </c>
      <c r="O71" s="10">
        <f>INT(N71/'تنظیمات'!$B$7)</f>
        <v/>
      </c>
      <c r="P71" s="10">
        <f>N71-O71*'تنظیمات'!$B$7</f>
        <v/>
      </c>
      <c r="Q71" s="20">
        <f>IF(J71=0,0,K71+IF(M71&lt;=O71,'تنظیمات'!$B$7,0)+IF(M71=1,P71,0))</f>
        <v/>
      </c>
      <c r="R71" s="22">
        <f>'سطرهای تسهیم'!F12</f>
        <v/>
      </c>
      <c r="S71" s="22">
        <f>'سطرهای تسهیم'!G12</f>
        <v/>
      </c>
      <c r="T71" s="4">
        <f>IFERROR(INDEX('دسته‌ها'!$D$5:$D$25,MATCH(S71,'دسته‌ها'!$A$5:$A$25,0)),"خیر")</f>
        <v/>
      </c>
    </row>
    <row r="72">
      <c r="A72" s="22">
        <f>'سطرهای تسهیم'!A12</f>
        <v/>
      </c>
      <c r="B72" s="22">
        <f>'سطرهای تسهیم'!B12</f>
        <v/>
      </c>
      <c r="C72" s="22">
        <f>'واحدها'!A9</f>
        <v/>
      </c>
      <c r="D72" s="12">
        <f>'واحدها'!H9</f>
        <v/>
      </c>
      <c r="E72" s="22">
        <f>'سطرهای تسهیم'!D12</f>
        <v/>
      </c>
      <c r="F72" s="19">
        <f>'سطرهای تسهیم'!E12</f>
        <v/>
      </c>
      <c r="G72" s="12">
        <f>IF('واحدها'!F9="بله",'شمول'!F8,0)</f>
        <v/>
      </c>
      <c r="H72" s="10">
        <f>CHOOSE(MATCH(E72,'فهرست‌ها'!$A$4:$A$13,0),1,'واحدها'!E9,'واحدها'!D9*100,'واحدها'!J9,'واحدها'!J9,'وزن‌ها'!F8,'وزن‌ها'!F8,'واحدها'!K9,'واحدها'!L9,0)</f>
        <v/>
      </c>
      <c r="I72" s="10">
        <f>G72*H72</f>
        <v/>
      </c>
      <c r="J72" s="10">
        <f>SUMIFS($I$5:$I$265,$A$5:$A$265,A72)</f>
        <v/>
      </c>
      <c r="K72" s="20">
        <f>IF(J72=0,0,'تنظیمات'!$B$7*INT(F72*I72/(J72*'تنظیمات'!$B$7)))</f>
        <v/>
      </c>
      <c r="L72" s="10">
        <f>IF(J72=0,0,F72*I72-J72*'تنظیمات'!$B$7*INT(F72*I72/(J72*'تنظیمات'!$B$7)))</f>
        <v/>
      </c>
      <c r="M72" s="10">
        <f>1+COUNTIFS($A$5:$A$265,A72,$L$5:$L$265,"&gt;"&amp;L72)+COUNTIFS($A$5:$A$265,A72,$L$5:$L$265,L72,$D$5:$D$265,"&lt;"&amp;D72)</f>
        <v/>
      </c>
      <c r="N72" s="20">
        <f>IF(J72=0,0,F72-SUMIFS($K$5:$K$265,$A$5:$A$265,A72))</f>
        <v/>
      </c>
      <c r="O72" s="10">
        <f>INT(N72/'تنظیمات'!$B$7)</f>
        <v/>
      </c>
      <c r="P72" s="10">
        <f>N72-O72*'تنظیمات'!$B$7</f>
        <v/>
      </c>
      <c r="Q72" s="20">
        <f>IF(J72=0,0,K72+IF(M72&lt;=O72,'تنظیمات'!$B$7,0)+IF(M72=1,P72,0))</f>
        <v/>
      </c>
      <c r="R72" s="22">
        <f>'سطرهای تسهیم'!F12</f>
        <v/>
      </c>
      <c r="S72" s="22">
        <f>'سطرهای تسهیم'!G12</f>
        <v/>
      </c>
      <c r="T72" s="4">
        <f>IFERROR(INDEX('دسته‌ها'!$D$5:$D$25,MATCH(S72,'دسته‌ها'!$A$5:$A$25,0)),"خیر")</f>
        <v/>
      </c>
    </row>
    <row r="73">
      <c r="A73" s="22">
        <f>'سطرهای تسهیم'!A12</f>
        <v/>
      </c>
      <c r="B73" s="22">
        <f>'سطرهای تسهیم'!B12</f>
        <v/>
      </c>
      <c r="C73" s="22">
        <f>'واحدها'!A10</f>
        <v/>
      </c>
      <c r="D73" s="12">
        <f>'واحدها'!H10</f>
        <v/>
      </c>
      <c r="E73" s="22">
        <f>'سطرهای تسهیم'!D12</f>
        <v/>
      </c>
      <c r="F73" s="19">
        <f>'سطرهای تسهیم'!E12</f>
        <v/>
      </c>
      <c r="G73" s="12">
        <f>IF('واحدها'!F10="بله",'شمول'!G8,0)</f>
        <v/>
      </c>
      <c r="H73" s="10">
        <f>CHOOSE(MATCH(E73,'فهرست‌ها'!$A$4:$A$13,0),1,'واحدها'!E10,'واحدها'!D10*100,'واحدها'!J10,'واحدها'!J10,'وزن‌ها'!G8,'وزن‌ها'!G8,'واحدها'!K10,'واحدها'!L10,0)</f>
        <v/>
      </c>
      <c r="I73" s="10">
        <f>G73*H73</f>
        <v/>
      </c>
      <c r="J73" s="10">
        <f>SUMIFS($I$5:$I$265,$A$5:$A$265,A73)</f>
        <v/>
      </c>
      <c r="K73" s="20">
        <f>IF(J73=0,0,'تنظیمات'!$B$7*INT(F73*I73/(J73*'تنظیمات'!$B$7)))</f>
        <v/>
      </c>
      <c r="L73" s="10">
        <f>IF(J73=0,0,F73*I73-J73*'تنظیمات'!$B$7*INT(F73*I73/(J73*'تنظیمات'!$B$7)))</f>
        <v/>
      </c>
      <c r="M73" s="10">
        <f>1+COUNTIFS($A$5:$A$265,A73,$L$5:$L$265,"&gt;"&amp;L73)+COUNTIFS($A$5:$A$265,A73,$L$5:$L$265,L73,$D$5:$D$265,"&lt;"&amp;D73)</f>
        <v/>
      </c>
      <c r="N73" s="20">
        <f>IF(J73=0,0,F73-SUMIFS($K$5:$K$265,$A$5:$A$265,A73))</f>
        <v/>
      </c>
      <c r="O73" s="10">
        <f>INT(N73/'تنظیمات'!$B$7)</f>
        <v/>
      </c>
      <c r="P73" s="10">
        <f>N73-O73*'تنظیمات'!$B$7</f>
        <v/>
      </c>
      <c r="Q73" s="20">
        <f>IF(J73=0,0,K73+IF(M73&lt;=O73,'تنظیمات'!$B$7,0)+IF(M73=1,P73,0))</f>
        <v/>
      </c>
      <c r="R73" s="22">
        <f>'سطرهای تسهیم'!F12</f>
        <v/>
      </c>
      <c r="S73" s="22">
        <f>'سطرهای تسهیم'!G12</f>
        <v/>
      </c>
      <c r="T73" s="4">
        <f>IFERROR(INDEX('دسته‌ها'!$D$5:$D$25,MATCH(S73,'دسته‌ها'!$A$5:$A$25,0)),"خیر")</f>
        <v/>
      </c>
    </row>
    <row r="74">
      <c r="A74" s="22">
        <f>'سطرهای تسهیم'!A12</f>
        <v/>
      </c>
      <c r="B74" s="22">
        <f>'سطرهای تسهیم'!B12</f>
        <v/>
      </c>
      <c r="C74" s="22">
        <f>'واحدها'!A11</f>
        <v/>
      </c>
      <c r="D74" s="12">
        <f>'واحدها'!H11</f>
        <v/>
      </c>
      <c r="E74" s="22">
        <f>'سطرهای تسهیم'!D12</f>
        <v/>
      </c>
      <c r="F74" s="19">
        <f>'سطرهای تسهیم'!E12</f>
        <v/>
      </c>
      <c r="G74" s="12">
        <f>IF('واحدها'!F11="بله",'شمول'!H8,0)</f>
        <v/>
      </c>
      <c r="H74" s="10">
        <f>CHOOSE(MATCH(E74,'فهرست‌ها'!$A$4:$A$13,0),1,'واحدها'!E11,'واحدها'!D11*100,'واحدها'!J11,'واحدها'!J11,'وزن‌ها'!H8,'وزن‌ها'!H8,'واحدها'!K11,'واحدها'!L11,0)</f>
        <v/>
      </c>
      <c r="I74" s="10">
        <f>G74*H74</f>
        <v/>
      </c>
      <c r="J74" s="10">
        <f>SUMIFS($I$5:$I$265,$A$5:$A$265,A74)</f>
        <v/>
      </c>
      <c r="K74" s="20">
        <f>IF(J74=0,0,'تنظیمات'!$B$7*INT(F74*I74/(J74*'تنظیمات'!$B$7)))</f>
        <v/>
      </c>
      <c r="L74" s="10">
        <f>IF(J74=0,0,F74*I74-J74*'تنظیمات'!$B$7*INT(F74*I74/(J74*'تنظیمات'!$B$7)))</f>
        <v/>
      </c>
      <c r="M74" s="10">
        <f>1+COUNTIFS($A$5:$A$265,A74,$L$5:$L$265,"&gt;"&amp;L74)+COUNTIFS($A$5:$A$265,A74,$L$5:$L$265,L74,$D$5:$D$265,"&lt;"&amp;D74)</f>
        <v/>
      </c>
      <c r="N74" s="20">
        <f>IF(J74=0,0,F74-SUMIFS($K$5:$K$265,$A$5:$A$265,A74))</f>
        <v/>
      </c>
      <c r="O74" s="10">
        <f>INT(N74/'تنظیمات'!$B$7)</f>
        <v/>
      </c>
      <c r="P74" s="10">
        <f>N74-O74*'تنظیمات'!$B$7</f>
        <v/>
      </c>
      <c r="Q74" s="20">
        <f>IF(J74=0,0,K74+IF(M74&lt;=O74,'تنظیمات'!$B$7,0)+IF(M74=1,P74,0))</f>
        <v/>
      </c>
      <c r="R74" s="22">
        <f>'سطرهای تسهیم'!F12</f>
        <v/>
      </c>
      <c r="S74" s="22">
        <f>'سطرهای تسهیم'!G12</f>
        <v/>
      </c>
      <c r="T74" s="4">
        <f>IFERROR(INDEX('دسته‌ها'!$D$5:$D$25,MATCH(S74,'دسته‌ها'!$A$5:$A$25,0)),"خیر")</f>
        <v/>
      </c>
    </row>
    <row r="75">
      <c r="A75" s="22">
        <f>'سطرهای تسهیم'!A12</f>
        <v/>
      </c>
      <c r="B75" s="22">
        <f>'سطرهای تسهیم'!B12</f>
        <v/>
      </c>
      <c r="C75" s="22">
        <f>'واحدها'!A12</f>
        <v/>
      </c>
      <c r="D75" s="12">
        <f>'واحدها'!H12</f>
        <v/>
      </c>
      <c r="E75" s="22">
        <f>'سطرهای تسهیم'!D12</f>
        <v/>
      </c>
      <c r="F75" s="19">
        <f>'سطرهای تسهیم'!E12</f>
        <v/>
      </c>
      <c r="G75" s="12">
        <f>IF('واحدها'!F12="بله",'شمول'!I8,0)</f>
        <v/>
      </c>
      <c r="H75" s="10">
        <f>CHOOSE(MATCH(E75,'فهرست‌ها'!$A$4:$A$13,0),1,'واحدها'!E12,'واحدها'!D12*100,'واحدها'!J12,'واحدها'!J12,'وزن‌ها'!I8,'وزن‌ها'!I8,'واحدها'!K12,'واحدها'!L12,0)</f>
        <v/>
      </c>
      <c r="I75" s="10">
        <f>G75*H75</f>
        <v/>
      </c>
      <c r="J75" s="10">
        <f>SUMIFS($I$5:$I$265,$A$5:$A$265,A75)</f>
        <v/>
      </c>
      <c r="K75" s="20">
        <f>IF(J75=0,0,'تنظیمات'!$B$7*INT(F75*I75/(J75*'تنظیمات'!$B$7)))</f>
        <v/>
      </c>
      <c r="L75" s="10">
        <f>IF(J75=0,0,F75*I75-J75*'تنظیمات'!$B$7*INT(F75*I75/(J75*'تنظیمات'!$B$7)))</f>
        <v/>
      </c>
      <c r="M75" s="10">
        <f>1+COUNTIFS($A$5:$A$265,A75,$L$5:$L$265,"&gt;"&amp;L75)+COUNTIFS($A$5:$A$265,A75,$L$5:$L$265,L75,$D$5:$D$265,"&lt;"&amp;D75)</f>
        <v/>
      </c>
      <c r="N75" s="20">
        <f>IF(J75=0,0,F75-SUMIFS($K$5:$K$265,$A$5:$A$265,A75))</f>
        <v/>
      </c>
      <c r="O75" s="10">
        <f>INT(N75/'تنظیمات'!$B$7)</f>
        <v/>
      </c>
      <c r="P75" s="10">
        <f>N75-O75*'تنظیمات'!$B$7</f>
        <v/>
      </c>
      <c r="Q75" s="20">
        <f>IF(J75=0,0,K75+IF(M75&lt;=O75,'تنظیمات'!$B$7,0)+IF(M75=1,P75,0))</f>
        <v/>
      </c>
      <c r="R75" s="22">
        <f>'سطرهای تسهیم'!F12</f>
        <v/>
      </c>
      <c r="S75" s="22">
        <f>'سطرهای تسهیم'!G12</f>
        <v/>
      </c>
      <c r="T75" s="4">
        <f>IFERROR(INDEX('دسته‌ها'!$D$5:$D$25,MATCH(S75,'دسته‌ها'!$A$5:$A$25,0)),"خیر")</f>
        <v/>
      </c>
    </row>
    <row r="76">
      <c r="A76" s="22">
        <f>'سطرهای تسهیم'!A12</f>
        <v/>
      </c>
      <c r="B76" s="22">
        <f>'سطرهای تسهیم'!B12</f>
        <v/>
      </c>
      <c r="C76" s="22">
        <f>'واحدها'!A13</f>
        <v/>
      </c>
      <c r="D76" s="12">
        <f>'واحدها'!H13</f>
        <v/>
      </c>
      <c r="E76" s="22">
        <f>'سطرهای تسهیم'!D12</f>
        <v/>
      </c>
      <c r="F76" s="19">
        <f>'سطرهای تسهیم'!E12</f>
        <v/>
      </c>
      <c r="G76" s="12">
        <f>IF('واحدها'!F13="بله",'شمول'!J8,0)</f>
        <v/>
      </c>
      <c r="H76" s="10">
        <f>CHOOSE(MATCH(E76,'فهرست‌ها'!$A$4:$A$13,0),1,'واحدها'!E13,'واحدها'!D13*100,'واحدها'!J13,'واحدها'!J13,'وزن‌ها'!J8,'وزن‌ها'!J8,'واحدها'!K13,'واحدها'!L13,0)</f>
        <v/>
      </c>
      <c r="I76" s="10">
        <f>G76*H76</f>
        <v/>
      </c>
      <c r="J76" s="10">
        <f>SUMIFS($I$5:$I$265,$A$5:$A$265,A76)</f>
        <v/>
      </c>
      <c r="K76" s="20">
        <f>IF(J76=0,0,'تنظیمات'!$B$7*INT(F76*I76/(J76*'تنظیمات'!$B$7)))</f>
        <v/>
      </c>
      <c r="L76" s="10">
        <f>IF(J76=0,0,F76*I76-J76*'تنظیمات'!$B$7*INT(F76*I76/(J76*'تنظیمات'!$B$7)))</f>
        <v/>
      </c>
      <c r="M76" s="10">
        <f>1+COUNTIFS($A$5:$A$265,A76,$L$5:$L$265,"&gt;"&amp;L76)+COUNTIFS($A$5:$A$265,A76,$L$5:$L$265,L76,$D$5:$D$265,"&lt;"&amp;D76)</f>
        <v/>
      </c>
      <c r="N76" s="20">
        <f>IF(J76=0,0,F76-SUMIFS($K$5:$K$265,$A$5:$A$265,A76))</f>
        <v/>
      </c>
      <c r="O76" s="10">
        <f>INT(N76/'تنظیمات'!$B$7)</f>
        <v/>
      </c>
      <c r="P76" s="10">
        <f>N76-O76*'تنظیمات'!$B$7</f>
        <v/>
      </c>
      <c r="Q76" s="20">
        <f>IF(J76=0,0,K76+IF(M76&lt;=O76,'تنظیمات'!$B$7,0)+IF(M76=1,P76,0))</f>
        <v/>
      </c>
      <c r="R76" s="22">
        <f>'سطرهای تسهیم'!F12</f>
        <v/>
      </c>
      <c r="S76" s="22">
        <f>'سطرهای تسهیم'!G12</f>
        <v/>
      </c>
      <c r="T76" s="4">
        <f>IFERROR(INDEX('دسته‌ها'!$D$5:$D$25,MATCH(S76,'دسته‌ها'!$A$5:$A$25,0)),"خیر")</f>
        <v/>
      </c>
    </row>
    <row r="77">
      <c r="A77" s="22">
        <f>'سطرهای تسهیم'!A13</f>
        <v/>
      </c>
      <c r="B77" s="22">
        <f>'سطرهای تسهیم'!B13</f>
        <v/>
      </c>
      <c r="C77" s="22">
        <f>'واحدها'!A5</f>
        <v/>
      </c>
      <c r="D77" s="12">
        <f>'واحدها'!H5</f>
        <v/>
      </c>
      <c r="E77" s="22">
        <f>'سطرهای تسهیم'!D13</f>
        <v/>
      </c>
      <c r="F77" s="19">
        <f>'سطرهای تسهیم'!E13</f>
        <v/>
      </c>
      <c r="G77" s="12">
        <f>IF('واحدها'!F5="بله",'شمول'!B9,0)</f>
        <v/>
      </c>
      <c r="H77" s="10">
        <f>CHOOSE(MATCH(E77,'فهرست‌ها'!$A$4:$A$13,0),1,'واحدها'!E5,'واحدها'!D5*100,'واحدها'!J5,'واحدها'!J5,'وزن‌ها'!B9,'وزن‌ها'!B9,'واحدها'!K5,'واحدها'!L5,0)</f>
        <v/>
      </c>
      <c r="I77" s="10">
        <f>G77*H77</f>
        <v/>
      </c>
      <c r="J77" s="10">
        <f>SUMIFS($I$5:$I$265,$A$5:$A$265,A77)</f>
        <v/>
      </c>
      <c r="K77" s="20">
        <f>IF(J77=0,0,'تنظیمات'!$B$7*INT(F77*I77/(J77*'تنظیمات'!$B$7)))</f>
        <v/>
      </c>
      <c r="L77" s="10">
        <f>IF(J77=0,0,F77*I77-J77*'تنظیمات'!$B$7*INT(F77*I77/(J77*'تنظیمات'!$B$7)))</f>
        <v/>
      </c>
      <c r="M77" s="10">
        <f>1+COUNTIFS($A$5:$A$265,A77,$L$5:$L$265,"&gt;"&amp;L77)+COUNTIFS($A$5:$A$265,A77,$L$5:$L$265,L77,$D$5:$D$265,"&lt;"&amp;D77)</f>
        <v/>
      </c>
      <c r="N77" s="20">
        <f>IF(J77=0,0,F77-SUMIFS($K$5:$K$265,$A$5:$A$265,A77))</f>
        <v/>
      </c>
      <c r="O77" s="10">
        <f>INT(N77/'تنظیمات'!$B$7)</f>
        <v/>
      </c>
      <c r="P77" s="10">
        <f>N77-O77*'تنظیمات'!$B$7</f>
        <v/>
      </c>
      <c r="Q77" s="20">
        <f>IF(J77=0,0,K77+IF(M77&lt;=O77,'تنظیمات'!$B$7,0)+IF(M77=1,P77,0))</f>
        <v/>
      </c>
      <c r="R77" s="22">
        <f>'سطرهای تسهیم'!F13</f>
        <v/>
      </c>
      <c r="S77" s="22">
        <f>'سطرهای تسهیم'!G13</f>
        <v/>
      </c>
      <c r="T77" s="4">
        <f>IFERROR(INDEX('دسته‌ها'!$D$5:$D$25,MATCH(S77,'دسته‌ها'!$A$5:$A$25,0)),"خیر")</f>
        <v/>
      </c>
    </row>
    <row r="78">
      <c r="A78" s="22">
        <f>'سطرهای تسهیم'!A13</f>
        <v/>
      </c>
      <c r="B78" s="22">
        <f>'سطرهای تسهیم'!B13</f>
        <v/>
      </c>
      <c r="C78" s="22">
        <f>'واحدها'!A6</f>
        <v/>
      </c>
      <c r="D78" s="12">
        <f>'واحدها'!H6</f>
        <v/>
      </c>
      <c r="E78" s="22">
        <f>'سطرهای تسهیم'!D13</f>
        <v/>
      </c>
      <c r="F78" s="19">
        <f>'سطرهای تسهیم'!E13</f>
        <v/>
      </c>
      <c r="G78" s="12">
        <f>IF('واحدها'!F6="بله",'شمول'!C9,0)</f>
        <v/>
      </c>
      <c r="H78" s="10">
        <f>CHOOSE(MATCH(E78,'فهرست‌ها'!$A$4:$A$13,0),1,'واحدها'!E6,'واحدها'!D6*100,'واحدها'!J6,'واحدها'!J6,'وزن‌ها'!C9,'وزن‌ها'!C9,'واحدها'!K6,'واحدها'!L6,0)</f>
        <v/>
      </c>
      <c r="I78" s="10">
        <f>G78*H78</f>
        <v/>
      </c>
      <c r="J78" s="10">
        <f>SUMIFS($I$5:$I$265,$A$5:$A$265,A78)</f>
        <v/>
      </c>
      <c r="K78" s="20">
        <f>IF(J78=0,0,'تنظیمات'!$B$7*INT(F78*I78/(J78*'تنظیمات'!$B$7)))</f>
        <v/>
      </c>
      <c r="L78" s="10">
        <f>IF(J78=0,0,F78*I78-J78*'تنظیمات'!$B$7*INT(F78*I78/(J78*'تنظیمات'!$B$7)))</f>
        <v/>
      </c>
      <c r="M78" s="10">
        <f>1+COUNTIFS($A$5:$A$265,A78,$L$5:$L$265,"&gt;"&amp;L78)+COUNTIFS($A$5:$A$265,A78,$L$5:$L$265,L78,$D$5:$D$265,"&lt;"&amp;D78)</f>
        <v/>
      </c>
      <c r="N78" s="20">
        <f>IF(J78=0,0,F78-SUMIFS($K$5:$K$265,$A$5:$A$265,A78))</f>
        <v/>
      </c>
      <c r="O78" s="10">
        <f>INT(N78/'تنظیمات'!$B$7)</f>
        <v/>
      </c>
      <c r="P78" s="10">
        <f>N78-O78*'تنظیمات'!$B$7</f>
        <v/>
      </c>
      <c r="Q78" s="20">
        <f>IF(J78=0,0,K78+IF(M78&lt;=O78,'تنظیمات'!$B$7,0)+IF(M78=1,P78,0))</f>
        <v/>
      </c>
      <c r="R78" s="22">
        <f>'سطرهای تسهیم'!F13</f>
        <v/>
      </c>
      <c r="S78" s="22">
        <f>'سطرهای تسهیم'!G13</f>
        <v/>
      </c>
      <c r="T78" s="4">
        <f>IFERROR(INDEX('دسته‌ها'!$D$5:$D$25,MATCH(S78,'دسته‌ها'!$A$5:$A$25,0)),"خیر")</f>
        <v/>
      </c>
    </row>
    <row r="79">
      <c r="A79" s="22">
        <f>'سطرهای تسهیم'!A13</f>
        <v/>
      </c>
      <c r="B79" s="22">
        <f>'سطرهای تسهیم'!B13</f>
        <v/>
      </c>
      <c r="C79" s="22">
        <f>'واحدها'!A7</f>
        <v/>
      </c>
      <c r="D79" s="12">
        <f>'واحدها'!H7</f>
        <v/>
      </c>
      <c r="E79" s="22">
        <f>'سطرهای تسهیم'!D13</f>
        <v/>
      </c>
      <c r="F79" s="19">
        <f>'سطرهای تسهیم'!E13</f>
        <v/>
      </c>
      <c r="G79" s="12">
        <f>IF('واحدها'!F7="بله",'شمول'!D9,0)</f>
        <v/>
      </c>
      <c r="H79" s="10">
        <f>CHOOSE(MATCH(E79,'فهرست‌ها'!$A$4:$A$13,0),1,'واحدها'!E7,'واحدها'!D7*100,'واحدها'!J7,'واحدها'!J7,'وزن‌ها'!D9,'وزن‌ها'!D9,'واحدها'!K7,'واحدها'!L7,0)</f>
        <v/>
      </c>
      <c r="I79" s="10">
        <f>G79*H79</f>
        <v/>
      </c>
      <c r="J79" s="10">
        <f>SUMIFS($I$5:$I$265,$A$5:$A$265,A79)</f>
        <v/>
      </c>
      <c r="K79" s="20">
        <f>IF(J79=0,0,'تنظیمات'!$B$7*INT(F79*I79/(J79*'تنظیمات'!$B$7)))</f>
        <v/>
      </c>
      <c r="L79" s="10">
        <f>IF(J79=0,0,F79*I79-J79*'تنظیمات'!$B$7*INT(F79*I79/(J79*'تنظیمات'!$B$7)))</f>
        <v/>
      </c>
      <c r="M79" s="10">
        <f>1+COUNTIFS($A$5:$A$265,A79,$L$5:$L$265,"&gt;"&amp;L79)+COUNTIFS($A$5:$A$265,A79,$L$5:$L$265,L79,$D$5:$D$265,"&lt;"&amp;D79)</f>
        <v/>
      </c>
      <c r="N79" s="20">
        <f>IF(J79=0,0,F79-SUMIFS($K$5:$K$265,$A$5:$A$265,A79))</f>
        <v/>
      </c>
      <c r="O79" s="10">
        <f>INT(N79/'تنظیمات'!$B$7)</f>
        <v/>
      </c>
      <c r="P79" s="10">
        <f>N79-O79*'تنظیمات'!$B$7</f>
        <v/>
      </c>
      <c r="Q79" s="20">
        <f>IF(J79=0,0,K79+IF(M79&lt;=O79,'تنظیمات'!$B$7,0)+IF(M79=1,P79,0))</f>
        <v/>
      </c>
      <c r="R79" s="22">
        <f>'سطرهای تسهیم'!F13</f>
        <v/>
      </c>
      <c r="S79" s="22">
        <f>'سطرهای تسهیم'!G13</f>
        <v/>
      </c>
      <c r="T79" s="4">
        <f>IFERROR(INDEX('دسته‌ها'!$D$5:$D$25,MATCH(S79,'دسته‌ها'!$A$5:$A$25,0)),"خیر")</f>
        <v/>
      </c>
    </row>
    <row r="80">
      <c r="A80" s="22">
        <f>'سطرهای تسهیم'!A13</f>
        <v/>
      </c>
      <c r="B80" s="22">
        <f>'سطرهای تسهیم'!B13</f>
        <v/>
      </c>
      <c r="C80" s="22">
        <f>'واحدها'!A8</f>
        <v/>
      </c>
      <c r="D80" s="12">
        <f>'واحدها'!H8</f>
        <v/>
      </c>
      <c r="E80" s="22">
        <f>'سطرهای تسهیم'!D13</f>
        <v/>
      </c>
      <c r="F80" s="19">
        <f>'سطرهای تسهیم'!E13</f>
        <v/>
      </c>
      <c r="G80" s="12">
        <f>IF('واحدها'!F8="بله",'شمول'!E9,0)</f>
        <v/>
      </c>
      <c r="H80" s="10">
        <f>CHOOSE(MATCH(E80,'فهرست‌ها'!$A$4:$A$13,0),1,'واحدها'!E8,'واحدها'!D8*100,'واحدها'!J8,'واحدها'!J8,'وزن‌ها'!E9,'وزن‌ها'!E9,'واحدها'!K8,'واحدها'!L8,0)</f>
        <v/>
      </c>
      <c r="I80" s="10">
        <f>G80*H80</f>
        <v/>
      </c>
      <c r="J80" s="10">
        <f>SUMIFS($I$5:$I$265,$A$5:$A$265,A80)</f>
        <v/>
      </c>
      <c r="K80" s="20">
        <f>IF(J80=0,0,'تنظیمات'!$B$7*INT(F80*I80/(J80*'تنظیمات'!$B$7)))</f>
        <v/>
      </c>
      <c r="L80" s="10">
        <f>IF(J80=0,0,F80*I80-J80*'تنظیمات'!$B$7*INT(F80*I80/(J80*'تنظیمات'!$B$7)))</f>
        <v/>
      </c>
      <c r="M80" s="10">
        <f>1+COUNTIFS($A$5:$A$265,A80,$L$5:$L$265,"&gt;"&amp;L80)+COUNTIFS($A$5:$A$265,A80,$L$5:$L$265,L80,$D$5:$D$265,"&lt;"&amp;D80)</f>
        <v/>
      </c>
      <c r="N80" s="20">
        <f>IF(J80=0,0,F80-SUMIFS($K$5:$K$265,$A$5:$A$265,A80))</f>
        <v/>
      </c>
      <c r="O80" s="10">
        <f>INT(N80/'تنظیمات'!$B$7)</f>
        <v/>
      </c>
      <c r="P80" s="10">
        <f>N80-O80*'تنظیمات'!$B$7</f>
        <v/>
      </c>
      <c r="Q80" s="20">
        <f>IF(J80=0,0,K80+IF(M80&lt;=O80,'تنظیمات'!$B$7,0)+IF(M80=1,P80,0))</f>
        <v/>
      </c>
      <c r="R80" s="22">
        <f>'سطرهای تسهیم'!F13</f>
        <v/>
      </c>
      <c r="S80" s="22">
        <f>'سطرهای تسهیم'!G13</f>
        <v/>
      </c>
      <c r="T80" s="4">
        <f>IFERROR(INDEX('دسته‌ها'!$D$5:$D$25,MATCH(S80,'دسته‌ها'!$A$5:$A$25,0)),"خیر")</f>
        <v/>
      </c>
    </row>
    <row r="81">
      <c r="A81" s="22">
        <f>'سطرهای تسهیم'!A13</f>
        <v/>
      </c>
      <c r="B81" s="22">
        <f>'سطرهای تسهیم'!B13</f>
        <v/>
      </c>
      <c r="C81" s="22">
        <f>'واحدها'!A9</f>
        <v/>
      </c>
      <c r="D81" s="12">
        <f>'واحدها'!H9</f>
        <v/>
      </c>
      <c r="E81" s="22">
        <f>'سطرهای تسهیم'!D13</f>
        <v/>
      </c>
      <c r="F81" s="19">
        <f>'سطرهای تسهیم'!E13</f>
        <v/>
      </c>
      <c r="G81" s="12">
        <f>IF('واحدها'!F9="بله",'شمول'!F9,0)</f>
        <v/>
      </c>
      <c r="H81" s="10">
        <f>CHOOSE(MATCH(E81,'فهرست‌ها'!$A$4:$A$13,0),1,'واحدها'!E9,'واحدها'!D9*100,'واحدها'!J9,'واحدها'!J9,'وزن‌ها'!F9,'وزن‌ها'!F9,'واحدها'!K9,'واحدها'!L9,0)</f>
        <v/>
      </c>
      <c r="I81" s="10">
        <f>G81*H81</f>
        <v/>
      </c>
      <c r="J81" s="10">
        <f>SUMIFS($I$5:$I$265,$A$5:$A$265,A81)</f>
        <v/>
      </c>
      <c r="K81" s="20">
        <f>IF(J81=0,0,'تنظیمات'!$B$7*INT(F81*I81/(J81*'تنظیمات'!$B$7)))</f>
        <v/>
      </c>
      <c r="L81" s="10">
        <f>IF(J81=0,0,F81*I81-J81*'تنظیمات'!$B$7*INT(F81*I81/(J81*'تنظیمات'!$B$7)))</f>
        <v/>
      </c>
      <c r="M81" s="10">
        <f>1+COUNTIFS($A$5:$A$265,A81,$L$5:$L$265,"&gt;"&amp;L81)+COUNTIFS($A$5:$A$265,A81,$L$5:$L$265,L81,$D$5:$D$265,"&lt;"&amp;D81)</f>
        <v/>
      </c>
      <c r="N81" s="20">
        <f>IF(J81=0,0,F81-SUMIFS($K$5:$K$265,$A$5:$A$265,A81))</f>
        <v/>
      </c>
      <c r="O81" s="10">
        <f>INT(N81/'تنظیمات'!$B$7)</f>
        <v/>
      </c>
      <c r="P81" s="10">
        <f>N81-O81*'تنظیمات'!$B$7</f>
        <v/>
      </c>
      <c r="Q81" s="20">
        <f>IF(J81=0,0,K81+IF(M81&lt;=O81,'تنظیمات'!$B$7,0)+IF(M81=1,P81,0))</f>
        <v/>
      </c>
      <c r="R81" s="22">
        <f>'سطرهای تسهیم'!F13</f>
        <v/>
      </c>
      <c r="S81" s="22">
        <f>'سطرهای تسهیم'!G13</f>
        <v/>
      </c>
      <c r="T81" s="4">
        <f>IFERROR(INDEX('دسته‌ها'!$D$5:$D$25,MATCH(S81,'دسته‌ها'!$A$5:$A$25,0)),"خیر")</f>
        <v/>
      </c>
    </row>
    <row r="82">
      <c r="A82" s="22">
        <f>'سطرهای تسهیم'!A13</f>
        <v/>
      </c>
      <c r="B82" s="22">
        <f>'سطرهای تسهیم'!B13</f>
        <v/>
      </c>
      <c r="C82" s="22">
        <f>'واحدها'!A10</f>
        <v/>
      </c>
      <c r="D82" s="12">
        <f>'واحدها'!H10</f>
        <v/>
      </c>
      <c r="E82" s="22">
        <f>'سطرهای تسهیم'!D13</f>
        <v/>
      </c>
      <c r="F82" s="19">
        <f>'سطرهای تسهیم'!E13</f>
        <v/>
      </c>
      <c r="G82" s="12">
        <f>IF('واحدها'!F10="بله",'شمول'!G9,0)</f>
        <v/>
      </c>
      <c r="H82" s="10">
        <f>CHOOSE(MATCH(E82,'فهرست‌ها'!$A$4:$A$13,0),1,'واحدها'!E10,'واحدها'!D10*100,'واحدها'!J10,'واحدها'!J10,'وزن‌ها'!G9,'وزن‌ها'!G9,'واحدها'!K10,'واحدها'!L10,0)</f>
        <v/>
      </c>
      <c r="I82" s="10">
        <f>G82*H82</f>
        <v/>
      </c>
      <c r="J82" s="10">
        <f>SUMIFS($I$5:$I$265,$A$5:$A$265,A82)</f>
        <v/>
      </c>
      <c r="K82" s="20">
        <f>IF(J82=0,0,'تنظیمات'!$B$7*INT(F82*I82/(J82*'تنظیمات'!$B$7)))</f>
        <v/>
      </c>
      <c r="L82" s="10">
        <f>IF(J82=0,0,F82*I82-J82*'تنظیمات'!$B$7*INT(F82*I82/(J82*'تنظیمات'!$B$7)))</f>
        <v/>
      </c>
      <c r="M82" s="10">
        <f>1+COUNTIFS($A$5:$A$265,A82,$L$5:$L$265,"&gt;"&amp;L82)+COUNTIFS($A$5:$A$265,A82,$L$5:$L$265,L82,$D$5:$D$265,"&lt;"&amp;D82)</f>
        <v/>
      </c>
      <c r="N82" s="20">
        <f>IF(J82=0,0,F82-SUMIFS($K$5:$K$265,$A$5:$A$265,A82))</f>
        <v/>
      </c>
      <c r="O82" s="10">
        <f>INT(N82/'تنظیمات'!$B$7)</f>
        <v/>
      </c>
      <c r="P82" s="10">
        <f>N82-O82*'تنظیمات'!$B$7</f>
        <v/>
      </c>
      <c r="Q82" s="20">
        <f>IF(J82=0,0,K82+IF(M82&lt;=O82,'تنظیمات'!$B$7,0)+IF(M82=1,P82,0))</f>
        <v/>
      </c>
      <c r="R82" s="22">
        <f>'سطرهای تسهیم'!F13</f>
        <v/>
      </c>
      <c r="S82" s="22">
        <f>'سطرهای تسهیم'!G13</f>
        <v/>
      </c>
      <c r="T82" s="4">
        <f>IFERROR(INDEX('دسته‌ها'!$D$5:$D$25,MATCH(S82,'دسته‌ها'!$A$5:$A$25,0)),"خیر")</f>
        <v/>
      </c>
    </row>
    <row r="83">
      <c r="A83" s="22">
        <f>'سطرهای تسهیم'!A13</f>
        <v/>
      </c>
      <c r="B83" s="22">
        <f>'سطرهای تسهیم'!B13</f>
        <v/>
      </c>
      <c r="C83" s="22">
        <f>'واحدها'!A11</f>
        <v/>
      </c>
      <c r="D83" s="12">
        <f>'واحدها'!H11</f>
        <v/>
      </c>
      <c r="E83" s="22">
        <f>'سطرهای تسهیم'!D13</f>
        <v/>
      </c>
      <c r="F83" s="19">
        <f>'سطرهای تسهیم'!E13</f>
        <v/>
      </c>
      <c r="G83" s="12">
        <f>IF('واحدها'!F11="بله",'شمول'!H9,0)</f>
        <v/>
      </c>
      <c r="H83" s="10">
        <f>CHOOSE(MATCH(E83,'فهرست‌ها'!$A$4:$A$13,0),1,'واحدها'!E11,'واحدها'!D11*100,'واحدها'!J11,'واحدها'!J11,'وزن‌ها'!H9,'وزن‌ها'!H9,'واحدها'!K11,'واحدها'!L11,0)</f>
        <v/>
      </c>
      <c r="I83" s="10">
        <f>G83*H83</f>
        <v/>
      </c>
      <c r="J83" s="10">
        <f>SUMIFS($I$5:$I$265,$A$5:$A$265,A83)</f>
        <v/>
      </c>
      <c r="K83" s="20">
        <f>IF(J83=0,0,'تنظیمات'!$B$7*INT(F83*I83/(J83*'تنظیمات'!$B$7)))</f>
        <v/>
      </c>
      <c r="L83" s="10">
        <f>IF(J83=0,0,F83*I83-J83*'تنظیمات'!$B$7*INT(F83*I83/(J83*'تنظیمات'!$B$7)))</f>
        <v/>
      </c>
      <c r="M83" s="10">
        <f>1+COUNTIFS($A$5:$A$265,A83,$L$5:$L$265,"&gt;"&amp;L83)+COUNTIFS($A$5:$A$265,A83,$L$5:$L$265,L83,$D$5:$D$265,"&lt;"&amp;D83)</f>
        <v/>
      </c>
      <c r="N83" s="20">
        <f>IF(J83=0,0,F83-SUMIFS($K$5:$K$265,$A$5:$A$265,A83))</f>
        <v/>
      </c>
      <c r="O83" s="10">
        <f>INT(N83/'تنظیمات'!$B$7)</f>
        <v/>
      </c>
      <c r="P83" s="10">
        <f>N83-O83*'تنظیمات'!$B$7</f>
        <v/>
      </c>
      <c r="Q83" s="20">
        <f>IF(J83=0,0,K83+IF(M83&lt;=O83,'تنظیمات'!$B$7,0)+IF(M83=1,P83,0))</f>
        <v/>
      </c>
      <c r="R83" s="22">
        <f>'سطرهای تسهیم'!F13</f>
        <v/>
      </c>
      <c r="S83" s="22">
        <f>'سطرهای تسهیم'!G13</f>
        <v/>
      </c>
      <c r="T83" s="4">
        <f>IFERROR(INDEX('دسته‌ها'!$D$5:$D$25,MATCH(S83,'دسته‌ها'!$A$5:$A$25,0)),"خیر")</f>
        <v/>
      </c>
    </row>
    <row r="84">
      <c r="A84" s="22">
        <f>'سطرهای تسهیم'!A13</f>
        <v/>
      </c>
      <c r="B84" s="22">
        <f>'سطرهای تسهیم'!B13</f>
        <v/>
      </c>
      <c r="C84" s="22">
        <f>'واحدها'!A12</f>
        <v/>
      </c>
      <c r="D84" s="12">
        <f>'واحدها'!H12</f>
        <v/>
      </c>
      <c r="E84" s="22">
        <f>'سطرهای تسهیم'!D13</f>
        <v/>
      </c>
      <c r="F84" s="19">
        <f>'سطرهای تسهیم'!E13</f>
        <v/>
      </c>
      <c r="G84" s="12">
        <f>IF('واحدها'!F12="بله",'شمول'!I9,0)</f>
        <v/>
      </c>
      <c r="H84" s="10">
        <f>CHOOSE(MATCH(E84,'فهرست‌ها'!$A$4:$A$13,0),1,'واحدها'!E12,'واحدها'!D12*100,'واحدها'!J12,'واحدها'!J12,'وزن‌ها'!I9,'وزن‌ها'!I9,'واحدها'!K12,'واحدها'!L12,0)</f>
        <v/>
      </c>
      <c r="I84" s="10">
        <f>G84*H84</f>
        <v/>
      </c>
      <c r="J84" s="10">
        <f>SUMIFS($I$5:$I$265,$A$5:$A$265,A84)</f>
        <v/>
      </c>
      <c r="K84" s="20">
        <f>IF(J84=0,0,'تنظیمات'!$B$7*INT(F84*I84/(J84*'تنظیمات'!$B$7)))</f>
        <v/>
      </c>
      <c r="L84" s="10">
        <f>IF(J84=0,0,F84*I84-J84*'تنظیمات'!$B$7*INT(F84*I84/(J84*'تنظیمات'!$B$7)))</f>
        <v/>
      </c>
      <c r="M84" s="10">
        <f>1+COUNTIFS($A$5:$A$265,A84,$L$5:$L$265,"&gt;"&amp;L84)+COUNTIFS($A$5:$A$265,A84,$L$5:$L$265,L84,$D$5:$D$265,"&lt;"&amp;D84)</f>
        <v/>
      </c>
      <c r="N84" s="20">
        <f>IF(J84=0,0,F84-SUMIFS($K$5:$K$265,$A$5:$A$265,A84))</f>
        <v/>
      </c>
      <c r="O84" s="10">
        <f>INT(N84/'تنظیمات'!$B$7)</f>
        <v/>
      </c>
      <c r="P84" s="10">
        <f>N84-O84*'تنظیمات'!$B$7</f>
        <v/>
      </c>
      <c r="Q84" s="20">
        <f>IF(J84=0,0,K84+IF(M84&lt;=O84,'تنظیمات'!$B$7,0)+IF(M84=1,P84,0))</f>
        <v/>
      </c>
      <c r="R84" s="22">
        <f>'سطرهای تسهیم'!F13</f>
        <v/>
      </c>
      <c r="S84" s="22">
        <f>'سطرهای تسهیم'!G13</f>
        <v/>
      </c>
      <c r="T84" s="4">
        <f>IFERROR(INDEX('دسته‌ها'!$D$5:$D$25,MATCH(S84,'دسته‌ها'!$A$5:$A$25,0)),"خیر")</f>
        <v/>
      </c>
    </row>
    <row r="85">
      <c r="A85" s="22">
        <f>'سطرهای تسهیم'!A13</f>
        <v/>
      </c>
      <c r="B85" s="22">
        <f>'سطرهای تسهیم'!B13</f>
        <v/>
      </c>
      <c r="C85" s="22">
        <f>'واحدها'!A13</f>
        <v/>
      </c>
      <c r="D85" s="12">
        <f>'واحدها'!H13</f>
        <v/>
      </c>
      <c r="E85" s="22">
        <f>'سطرهای تسهیم'!D13</f>
        <v/>
      </c>
      <c r="F85" s="19">
        <f>'سطرهای تسهیم'!E13</f>
        <v/>
      </c>
      <c r="G85" s="12">
        <f>IF('واحدها'!F13="بله",'شمول'!J9,0)</f>
        <v/>
      </c>
      <c r="H85" s="10">
        <f>CHOOSE(MATCH(E85,'فهرست‌ها'!$A$4:$A$13,0),1,'واحدها'!E13,'واحدها'!D13*100,'واحدها'!J13,'واحدها'!J13,'وزن‌ها'!J9,'وزن‌ها'!J9,'واحدها'!K13,'واحدها'!L13,0)</f>
        <v/>
      </c>
      <c r="I85" s="10">
        <f>G85*H85</f>
        <v/>
      </c>
      <c r="J85" s="10">
        <f>SUMIFS($I$5:$I$265,$A$5:$A$265,A85)</f>
        <v/>
      </c>
      <c r="K85" s="20">
        <f>IF(J85=0,0,'تنظیمات'!$B$7*INT(F85*I85/(J85*'تنظیمات'!$B$7)))</f>
        <v/>
      </c>
      <c r="L85" s="10">
        <f>IF(J85=0,0,F85*I85-J85*'تنظیمات'!$B$7*INT(F85*I85/(J85*'تنظیمات'!$B$7)))</f>
        <v/>
      </c>
      <c r="M85" s="10">
        <f>1+COUNTIFS($A$5:$A$265,A85,$L$5:$L$265,"&gt;"&amp;L85)+COUNTIFS($A$5:$A$265,A85,$L$5:$L$265,L85,$D$5:$D$265,"&lt;"&amp;D85)</f>
        <v/>
      </c>
      <c r="N85" s="20">
        <f>IF(J85=0,0,F85-SUMIFS($K$5:$K$265,$A$5:$A$265,A85))</f>
        <v/>
      </c>
      <c r="O85" s="10">
        <f>INT(N85/'تنظیمات'!$B$7)</f>
        <v/>
      </c>
      <c r="P85" s="10">
        <f>N85-O85*'تنظیمات'!$B$7</f>
        <v/>
      </c>
      <c r="Q85" s="20">
        <f>IF(J85=0,0,K85+IF(M85&lt;=O85,'تنظیمات'!$B$7,0)+IF(M85=1,P85,0))</f>
        <v/>
      </c>
      <c r="R85" s="22">
        <f>'سطرهای تسهیم'!F13</f>
        <v/>
      </c>
      <c r="S85" s="22">
        <f>'سطرهای تسهیم'!G13</f>
        <v/>
      </c>
      <c r="T85" s="4">
        <f>IFERROR(INDEX('دسته‌ها'!$D$5:$D$25,MATCH(S85,'دسته‌ها'!$A$5:$A$25,0)),"خیر")</f>
        <v/>
      </c>
    </row>
    <row r="86">
      <c r="A86" s="22">
        <f>'سطرهای تسهیم'!A14</f>
        <v/>
      </c>
      <c r="B86" s="22">
        <f>'سطرهای تسهیم'!B14</f>
        <v/>
      </c>
      <c r="C86" s="22">
        <f>'واحدها'!A5</f>
        <v/>
      </c>
      <c r="D86" s="12">
        <f>'واحدها'!H5</f>
        <v/>
      </c>
      <c r="E86" s="22">
        <f>'سطرهای تسهیم'!D14</f>
        <v/>
      </c>
      <c r="F86" s="19">
        <f>'سطرهای تسهیم'!E14</f>
        <v/>
      </c>
      <c r="G86" s="12">
        <f>IF('واحدها'!F5="بله",'شمول'!B9,0)</f>
        <v/>
      </c>
      <c r="H86" s="10">
        <f>CHOOSE(MATCH(E86,'فهرست‌ها'!$A$4:$A$13,0),1,'واحدها'!E5,'واحدها'!D5*100,'واحدها'!J5,'واحدها'!J5,'وزن‌ها'!B9,'وزن‌ها'!B9,'واحدها'!K5,'واحدها'!L5,0)</f>
        <v/>
      </c>
      <c r="I86" s="10">
        <f>G86*H86</f>
        <v/>
      </c>
      <c r="J86" s="10">
        <f>SUMIFS($I$5:$I$265,$A$5:$A$265,A86)</f>
        <v/>
      </c>
      <c r="K86" s="20">
        <f>IF(J86=0,0,'تنظیمات'!$B$7*INT(F86*I86/(J86*'تنظیمات'!$B$7)))</f>
        <v/>
      </c>
      <c r="L86" s="10">
        <f>IF(J86=0,0,F86*I86-J86*'تنظیمات'!$B$7*INT(F86*I86/(J86*'تنظیمات'!$B$7)))</f>
        <v/>
      </c>
      <c r="M86" s="10">
        <f>1+COUNTIFS($A$5:$A$265,A86,$L$5:$L$265,"&gt;"&amp;L86)+COUNTIFS($A$5:$A$265,A86,$L$5:$L$265,L86,$D$5:$D$265,"&lt;"&amp;D86)</f>
        <v/>
      </c>
      <c r="N86" s="20">
        <f>IF(J86=0,0,F86-SUMIFS($K$5:$K$265,$A$5:$A$265,A86))</f>
        <v/>
      </c>
      <c r="O86" s="10">
        <f>INT(N86/'تنظیمات'!$B$7)</f>
        <v/>
      </c>
      <c r="P86" s="10">
        <f>N86-O86*'تنظیمات'!$B$7</f>
        <v/>
      </c>
      <c r="Q86" s="20">
        <f>IF(J86=0,0,K86+IF(M86&lt;=O86,'تنظیمات'!$B$7,0)+IF(M86=1,P86,0))</f>
        <v/>
      </c>
      <c r="R86" s="22">
        <f>'سطرهای تسهیم'!F14</f>
        <v/>
      </c>
      <c r="S86" s="22">
        <f>'سطرهای تسهیم'!G14</f>
        <v/>
      </c>
      <c r="T86" s="4">
        <f>IFERROR(INDEX('دسته‌ها'!$D$5:$D$25,MATCH(S86,'دسته‌ها'!$A$5:$A$25,0)),"خیر")</f>
        <v/>
      </c>
    </row>
    <row r="87">
      <c r="A87" s="22">
        <f>'سطرهای تسهیم'!A14</f>
        <v/>
      </c>
      <c r="B87" s="22">
        <f>'سطرهای تسهیم'!B14</f>
        <v/>
      </c>
      <c r="C87" s="22">
        <f>'واحدها'!A6</f>
        <v/>
      </c>
      <c r="D87" s="12">
        <f>'واحدها'!H6</f>
        <v/>
      </c>
      <c r="E87" s="22">
        <f>'سطرهای تسهیم'!D14</f>
        <v/>
      </c>
      <c r="F87" s="19">
        <f>'سطرهای تسهیم'!E14</f>
        <v/>
      </c>
      <c r="G87" s="12">
        <f>IF('واحدها'!F6="بله",'شمول'!C9,0)</f>
        <v/>
      </c>
      <c r="H87" s="10">
        <f>CHOOSE(MATCH(E87,'فهرست‌ها'!$A$4:$A$13,0),1,'واحدها'!E6,'واحدها'!D6*100,'واحدها'!J6,'واحدها'!J6,'وزن‌ها'!C9,'وزن‌ها'!C9,'واحدها'!K6,'واحدها'!L6,0)</f>
        <v/>
      </c>
      <c r="I87" s="10">
        <f>G87*H87</f>
        <v/>
      </c>
      <c r="J87" s="10">
        <f>SUMIFS($I$5:$I$265,$A$5:$A$265,A87)</f>
        <v/>
      </c>
      <c r="K87" s="20">
        <f>IF(J87=0,0,'تنظیمات'!$B$7*INT(F87*I87/(J87*'تنظیمات'!$B$7)))</f>
        <v/>
      </c>
      <c r="L87" s="10">
        <f>IF(J87=0,0,F87*I87-J87*'تنظیمات'!$B$7*INT(F87*I87/(J87*'تنظیمات'!$B$7)))</f>
        <v/>
      </c>
      <c r="M87" s="10">
        <f>1+COUNTIFS($A$5:$A$265,A87,$L$5:$L$265,"&gt;"&amp;L87)+COUNTIFS($A$5:$A$265,A87,$L$5:$L$265,L87,$D$5:$D$265,"&lt;"&amp;D87)</f>
        <v/>
      </c>
      <c r="N87" s="20">
        <f>IF(J87=0,0,F87-SUMIFS($K$5:$K$265,$A$5:$A$265,A87))</f>
        <v/>
      </c>
      <c r="O87" s="10">
        <f>INT(N87/'تنظیمات'!$B$7)</f>
        <v/>
      </c>
      <c r="P87" s="10">
        <f>N87-O87*'تنظیمات'!$B$7</f>
        <v/>
      </c>
      <c r="Q87" s="20">
        <f>IF(J87=0,0,K87+IF(M87&lt;=O87,'تنظیمات'!$B$7,0)+IF(M87=1,P87,0))</f>
        <v/>
      </c>
      <c r="R87" s="22">
        <f>'سطرهای تسهیم'!F14</f>
        <v/>
      </c>
      <c r="S87" s="22">
        <f>'سطرهای تسهیم'!G14</f>
        <v/>
      </c>
      <c r="T87" s="4">
        <f>IFERROR(INDEX('دسته‌ها'!$D$5:$D$25,MATCH(S87,'دسته‌ها'!$A$5:$A$25,0)),"خیر")</f>
        <v/>
      </c>
    </row>
    <row r="88">
      <c r="A88" s="22">
        <f>'سطرهای تسهیم'!A14</f>
        <v/>
      </c>
      <c r="B88" s="22">
        <f>'سطرهای تسهیم'!B14</f>
        <v/>
      </c>
      <c r="C88" s="22">
        <f>'واحدها'!A7</f>
        <v/>
      </c>
      <c r="D88" s="12">
        <f>'واحدها'!H7</f>
        <v/>
      </c>
      <c r="E88" s="22">
        <f>'سطرهای تسهیم'!D14</f>
        <v/>
      </c>
      <c r="F88" s="19">
        <f>'سطرهای تسهیم'!E14</f>
        <v/>
      </c>
      <c r="G88" s="12">
        <f>IF('واحدها'!F7="بله",'شمول'!D9,0)</f>
        <v/>
      </c>
      <c r="H88" s="10">
        <f>CHOOSE(MATCH(E88,'فهرست‌ها'!$A$4:$A$13,0),1,'واحدها'!E7,'واحدها'!D7*100,'واحدها'!J7,'واحدها'!J7,'وزن‌ها'!D9,'وزن‌ها'!D9,'واحدها'!K7,'واحدها'!L7,0)</f>
        <v/>
      </c>
      <c r="I88" s="10">
        <f>G88*H88</f>
        <v/>
      </c>
      <c r="J88" s="10">
        <f>SUMIFS($I$5:$I$265,$A$5:$A$265,A88)</f>
        <v/>
      </c>
      <c r="K88" s="20">
        <f>IF(J88=0,0,'تنظیمات'!$B$7*INT(F88*I88/(J88*'تنظیمات'!$B$7)))</f>
        <v/>
      </c>
      <c r="L88" s="10">
        <f>IF(J88=0,0,F88*I88-J88*'تنظیمات'!$B$7*INT(F88*I88/(J88*'تنظیمات'!$B$7)))</f>
        <v/>
      </c>
      <c r="M88" s="10">
        <f>1+COUNTIFS($A$5:$A$265,A88,$L$5:$L$265,"&gt;"&amp;L88)+COUNTIFS($A$5:$A$265,A88,$L$5:$L$265,L88,$D$5:$D$265,"&lt;"&amp;D88)</f>
        <v/>
      </c>
      <c r="N88" s="20">
        <f>IF(J88=0,0,F88-SUMIFS($K$5:$K$265,$A$5:$A$265,A88))</f>
        <v/>
      </c>
      <c r="O88" s="10">
        <f>INT(N88/'تنظیمات'!$B$7)</f>
        <v/>
      </c>
      <c r="P88" s="10">
        <f>N88-O88*'تنظیمات'!$B$7</f>
        <v/>
      </c>
      <c r="Q88" s="20">
        <f>IF(J88=0,0,K88+IF(M88&lt;=O88,'تنظیمات'!$B$7,0)+IF(M88=1,P88,0))</f>
        <v/>
      </c>
      <c r="R88" s="22">
        <f>'سطرهای تسهیم'!F14</f>
        <v/>
      </c>
      <c r="S88" s="22">
        <f>'سطرهای تسهیم'!G14</f>
        <v/>
      </c>
      <c r="T88" s="4">
        <f>IFERROR(INDEX('دسته‌ها'!$D$5:$D$25,MATCH(S88,'دسته‌ها'!$A$5:$A$25,0)),"خیر")</f>
        <v/>
      </c>
    </row>
    <row r="89">
      <c r="A89" s="22">
        <f>'سطرهای تسهیم'!A14</f>
        <v/>
      </c>
      <c r="B89" s="22">
        <f>'سطرهای تسهیم'!B14</f>
        <v/>
      </c>
      <c r="C89" s="22">
        <f>'واحدها'!A8</f>
        <v/>
      </c>
      <c r="D89" s="12">
        <f>'واحدها'!H8</f>
        <v/>
      </c>
      <c r="E89" s="22">
        <f>'سطرهای تسهیم'!D14</f>
        <v/>
      </c>
      <c r="F89" s="19">
        <f>'سطرهای تسهیم'!E14</f>
        <v/>
      </c>
      <c r="G89" s="12">
        <f>IF('واحدها'!F8="بله",'شمول'!E9,0)</f>
        <v/>
      </c>
      <c r="H89" s="10">
        <f>CHOOSE(MATCH(E89,'فهرست‌ها'!$A$4:$A$13,0),1,'واحدها'!E8,'واحدها'!D8*100,'واحدها'!J8,'واحدها'!J8,'وزن‌ها'!E9,'وزن‌ها'!E9,'واحدها'!K8,'واحدها'!L8,0)</f>
        <v/>
      </c>
      <c r="I89" s="10">
        <f>G89*H89</f>
        <v/>
      </c>
      <c r="J89" s="10">
        <f>SUMIFS($I$5:$I$265,$A$5:$A$265,A89)</f>
        <v/>
      </c>
      <c r="K89" s="20">
        <f>IF(J89=0,0,'تنظیمات'!$B$7*INT(F89*I89/(J89*'تنظیمات'!$B$7)))</f>
        <v/>
      </c>
      <c r="L89" s="10">
        <f>IF(J89=0,0,F89*I89-J89*'تنظیمات'!$B$7*INT(F89*I89/(J89*'تنظیمات'!$B$7)))</f>
        <v/>
      </c>
      <c r="M89" s="10">
        <f>1+COUNTIFS($A$5:$A$265,A89,$L$5:$L$265,"&gt;"&amp;L89)+COUNTIFS($A$5:$A$265,A89,$L$5:$L$265,L89,$D$5:$D$265,"&lt;"&amp;D89)</f>
        <v/>
      </c>
      <c r="N89" s="20">
        <f>IF(J89=0,0,F89-SUMIFS($K$5:$K$265,$A$5:$A$265,A89))</f>
        <v/>
      </c>
      <c r="O89" s="10">
        <f>INT(N89/'تنظیمات'!$B$7)</f>
        <v/>
      </c>
      <c r="P89" s="10">
        <f>N89-O89*'تنظیمات'!$B$7</f>
        <v/>
      </c>
      <c r="Q89" s="20">
        <f>IF(J89=0,0,K89+IF(M89&lt;=O89,'تنظیمات'!$B$7,0)+IF(M89=1,P89,0))</f>
        <v/>
      </c>
      <c r="R89" s="22">
        <f>'سطرهای تسهیم'!F14</f>
        <v/>
      </c>
      <c r="S89" s="22">
        <f>'سطرهای تسهیم'!G14</f>
        <v/>
      </c>
      <c r="T89" s="4">
        <f>IFERROR(INDEX('دسته‌ها'!$D$5:$D$25,MATCH(S89,'دسته‌ها'!$A$5:$A$25,0)),"خیر")</f>
        <v/>
      </c>
    </row>
    <row r="90">
      <c r="A90" s="22">
        <f>'سطرهای تسهیم'!A14</f>
        <v/>
      </c>
      <c r="B90" s="22">
        <f>'سطرهای تسهیم'!B14</f>
        <v/>
      </c>
      <c r="C90" s="22">
        <f>'واحدها'!A9</f>
        <v/>
      </c>
      <c r="D90" s="12">
        <f>'واحدها'!H9</f>
        <v/>
      </c>
      <c r="E90" s="22">
        <f>'سطرهای تسهیم'!D14</f>
        <v/>
      </c>
      <c r="F90" s="19">
        <f>'سطرهای تسهیم'!E14</f>
        <v/>
      </c>
      <c r="G90" s="12">
        <f>IF('واحدها'!F9="بله",'شمول'!F9,0)</f>
        <v/>
      </c>
      <c r="H90" s="10">
        <f>CHOOSE(MATCH(E90,'فهرست‌ها'!$A$4:$A$13,0),1,'واحدها'!E9,'واحدها'!D9*100,'واحدها'!J9,'واحدها'!J9,'وزن‌ها'!F9,'وزن‌ها'!F9,'واحدها'!K9,'واحدها'!L9,0)</f>
        <v/>
      </c>
      <c r="I90" s="10">
        <f>G90*H90</f>
        <v/>
      </c>
      <c r="J90" s="10">
        <f>SUMIFS($I$5:$I$265,$A$5:$A$265,A90)</f>
        <v/>
      </c>
      <c r="K90" s="20">
        <f>IF(J90=0,0,'تنظیمات'!$B$7*INT(F90*I90/(J90*'تنظیمات'!$B$7)))</f>
        <v/>
      </c>
      <c r="L90" s="10">
        <f>IF(J90=0,0,F90*I90-J90*'تنظیمات'!$B$7*INT(F90*I90/(J90*'تنظیمات'!$B$7)))</f>
        <v/>
      </c>
      <c r="M90" s="10">
        <f>1+COUNTIFS($A$5:$A$265,A90,$L$5:$L$265,"&gt;"&amp;L90)+COUNTIFS($A$5:$A$265,A90,$L$5:$L$265,L90,$D$5:$D$265,"&lt;"&amp;D90)</f>
        <v/>
      </c>
      <c r="N90" s="20">
        <f>IF(J90=0,0,F90-SUMIFS($K$5:$K$265,$A$5:$A$265,A90))</f>
        <v/>
      </c>
      <c r="O90" s="10">
        <f>INT(N90/'تنظیمات'!$B$7)</f>
        <v/>
      </c>
      <c r="P90" s="10">
        <f>N90-O90*'تنظیمات'!$B$7</f>
        <v/>
      </c>
      <c r="Q90" s="20">
        <f>IF(J90=0,0,K90+IF(M90&lt;=O90,'تنظیمات'!$B$7,0)+IF(M90=1,P90,0))</f>
        <v/>
      </c>
      <c r="R90" s="22">
        <f>'سطرهای تسهیم'!F14</f>
        <v/>
      </c>
      <c r="S90" s="22">
        <f>'سطرهای تسهیم'!G14</f>
        <v/>
      </c>
      <c r="T90" s="4">
        <f>IFERROR(INDEX('دسته‌ها'!$D$5:$D$25,MATCH(S90,'دسته‌ها'!$A$5:$A$25,0)),"خیر")</f>
        <v/>
      </c>
    </row>
    <row r="91">
      <c r="A91" s="22">
        <f>'سطرهای تسهیم'!A14</f>
        <v/>
      </c>
      <c r="B91" s="22">
        <f>'سطرهای تسهیم'!B14</f>
        <v/>
      </c>
      <c r="C91" s="22">
        <f>'واحدها'!A10</f>
        <v/>
      </c>
      <c r="D91" s="12">
        <f>'واحدها'!H10</f>
        <v/>
      </c>
      <c r="E91" s="22">
        <f>'سطرهای تسهیم'!D14</f>
        <v/>
      </c>
      <c r="F91" s="19">
        <f>'سطرهای تسهیم'!E14</f>
        <v/>
      </c>
      <c r="G91" s="12">
        <f>IF('واحدها'!F10="بله",'شمول'!G9,0)</f>
        <v/>
      </c>
      <c r="H91" s="10">
        <f>CHOOSE(MATCH(E91,'فهرست‌ها'!$A$4:$A$13,0),1,'واحدها'!E10,'واحدها'!D10*100,'واحدها'!J10,'واحدها'!J10,'وزن‌ها'!G9,'وزن‌ها'!G9,'واحدها'!K10,'واحدها'!L10,0)</f>
        <v/>
      </c>
      <c r="I91" s="10">
        <f>G91*H91</f>
        <v/>
      </c>
      <c r="J91" s="10">
        <f>SUMIFS($I$5:$I$265,$A$5:$A$265,A91)</f>
        <v/>
      </c>
      <c r="K91" s="20">
        <f>IF(J91=0,0,'تنظیمات'!$B$7*INT(F91*I91/(J91*'تنظیمات'!$B$7)))</f>
        <v/>
      </c>
      <c r="L91" s="10">
        <f>IF(J91=0,0,F91*I91-J91*'تنظیمات'!$B$7*INT(F91*I91/(J91*'تنظیمات'!$B$7)))</f>
        <v/>
      </c>
      <c r="M91" s="10">
        <f>1+COUNTIFS($A$5:$A$265,A91,$L$5:$L$265,"&gt;"&amp;L91)+COUNTIFS($A$5:$A$265,A91,$L$5:$L$265,L91,$D$5:$D$265,"&lt;"&amp;D91)</f>
        <v/>
      </c>
      <c r="N91" s="20">
        <f>IF(J91=0,0,F91-SUMIFS($K$5:$K$265,$A$5:$A$265,A91))</f>
        <v/>
      </c>
      <c r="O91" s="10">
        <f>INT(N91/'تنظیمات'!$B$7)</f>
        <v/>
      </c>
      <c r="P91" s="10">
        <f>N91-O91*'تنظیمات'!$B$7</f>
        <v/>
      </c>
      <c r="Q91" s="20">
        <f>IF(J91=0,0,K91+IF(M91&lt;=O91,'تنظیمات'!$B$7,0)+IF(M91=1,P91,0))</f>
        <v/>
      </c>
      <c r="R91" s="22">
        <f>'سطرهای تسهیم'!F14</f>
        <v/>
      </c>
      <c r="S91" s="22">
        <f>'سطرهای تسهیم'!G14</f>
        <v/>
      </c>
      <c r="T91" s="4">
        <f>IFERROR(INDEX('دسته‌ها'!$D$5:$D$25,MATCH(S91,'دسته‌ها'!$A$5:$A$25,0)),"خیر")</f>
        <v/>
      </c>
    </row>
    <row r="92">
      <c r="A92" s="22">
        <f>'سطرهای تسهیم'!A14</f>
        <v/>
      </c>
      <c r="B92" s="22">
        <f>'سطرهای تسهیم'!B14</f>
        <v/>
      </c>
      <c r="C92" s="22">
        <f>'واحدها'!A11</f>
        <v/>
      </c>
      <c r="D92" s="12">
        <f>'واحدها'!H11</f>
        <v/>
      </c>
      <c r="E92" s="22">
        <f>'سطرهای تسهیم'!D14</f>
        <v/>
      </c>
      <c r="F92" s="19">
        <f>'سطرهای تسهیم'!E14</f>
        <v/>
      </c>
      <c r="G92" s="12">
        <f>IF('واحدها'!F11="بله",'شمول'!H9,0)</f>
        <v/>
      </c>
      <c r="H92" s="10">
        <f>CHOOSE(MATCH(E92,'فهرست‌ها'!$A$4:$A$13,0),1,'واحدها'!E11,'واحدها'!D11*100,'واحدها'!J11,'واحدها'!J11,'وزن‌ها'!H9,'وزن‌ها'!H9,'واحدها'!K11,'واحدها'!L11,0)</f>
        <v/>
      </c>
      <c r="I92" s="10">
        <f>G92*H92</f>
        <v/>
      </c>
      <c r="J92" s="10">
        <f>SUMIFS($I$5:$I$265,$A$5:$A$265,A92)</f>
        <v/>
      </c>
      <c r="K92" s="20">
        <f>IF(J92=0,0,'تنظیمات'!$B$7*INT(F92*I92/(J92*'تنظیمات'!$B$7)))</f>
        <v/>
      </c>
      <c r="L92" s="10">
        <f>IF(J92=0,0,F92*I92-J92*'تنظیمات'!$B$7*INT(F92*I92/(J92*'تنظیمات'!$B$7)))</f>
        <v/>
      </c>
      <c r="M92" s="10">
        <f>1+COUNTIFS($A$5:$A$265,A92,$L$5:$L$265,"&gt;"&amp;L92)+COUNTIFS($A$5:$A$265,A92,$L$5:$L$265,L92,$D$5:$D$265,"&lt;"&amp;D92)</f>
        <v/>
      </c>
      <c r="N92" s="20">
        <f>IF(J92=0,0,F92-SUMIFS($K$5:$K$265,$A$5:$A$265,A92))</f>
        <v/>
      </c>
      <c r="O92" s="10">
        <f>INT(N92/'تنظیمات'!$B$7)</f>
        <v/>
      </c>
      <c r="P92" s="10">
        <f>N92-O92*'تنظیمات'!$B$7</f>
        <v/>
      </c>
      <c r="Q92" s="20">
        <f>IF(J92=0,0,K92+IF(M92&lt;=O92,'تنظیمات'!$B$7,0)+IF(M92=1,P92,0))</f>
        <v/>
      </c>
      <c r="R92" s="22">
        <f>'سطرهای تسهیم'!F14</f>
        <v/>
      </c>
      <c r="S92" s="22">
        <f>'سطرهای تسهیم'!G14</f>
        <v/>
      </c>
      <c r="T92" s="4">
        <f>IFERROR(INDEX('دسته‌ها'!$D$5:$D$25,MATCH(S92,'دسته‌ها'!$A$5:$A$25,0)),"خیر")</f>
        <v/>
      </c>
    </row>
    <row r="93">
      <c r="A93" s="22">
        <f>'سطرهای تسهیم'!A14</f>
        <v/>
      </c>
      <c r="B93" s="22">
        <f>'سطرهای تسهیم'!B14</f>
        <v/>
      </c>
      <c r="C93" s="22">
        <f>'واحدها'!A12</f>
        <v/>
      </c>
      <c r="D93" s="12">
        <f>'واحدها'!H12</f>
        <v/>
      </c>
      <c r="E93" s="22">
        <f>'سطرهای تسهیم'!D14</f>
        <v/>
      </c>
      <c r="F93" s="19">
        <f>'سطرهای تسهیم'!E14</f>
        <v/>
      </c>
      <c r="G93" s="12">
        <f>IF('واحدها'!F12="بله",'شمول'!I9,0)</f>
        <v/>
      </c>
      <c r="H93" s="10">
        <f>CHOOSE(MATCH(E93,'فهرست‌ها'!$A$4:$A$13,0),1,'واحدها'!E12,'واحدها'!D12*100,'واحدها'!J12,'واحدها'!J12,'وزن‌ها'!I9,'وزن‌ها'!I9,'واحدها'!K12,'واحدها'!L12,0)</f>
        <v/>
      </c>
      <c r="I93" s="10">
        <f>G93*H93</f>
        <v/>
      </c>
      <c r="J93" s="10">
        <f>SUMIFS($I$5:$I$265,$A$5:$A$265,A93)</f>
        <v/>
      </c>
      <c r="K93" s="20">
        <f>IF(J93=0,0,'تنظیمات'!$B$7*INT(F93*I93/(J93*'تنظیمات'!$B$7)))</f>
        <v/>
      </c>
      <c r="L93" s="10">
        <f>IF(J93=0,0,F93*I93-J93*'تنظیمات'!$B$7*INT(F93*I93/(J93*'تنظیمات'!$B$7)))</f>
        <v/>
      </c>
      <c r="M93" s="10">
        <f>1+COUNTIFS($A$5:$A$265,A93,$L$5:$L$265,"&gt;"&amp;L93)+COUNTIFS($A$5:$A$265,A93,$L$5:$L$265,L93,$D$5:$D$265,"&lt;"&amp;D93)</f>
        <v/>
      </c>
      <c r="N93" s="20">
        <f>IF(J93=0,0,F93-SUMIFS($K$5:$K$265,$A$5:$A$265,A93))</f>
        <v/>
      </c>
      <c r="O93" s="10">
        <f>INT(N93/'تنظیمات'!$B$7)</f>
        <v/>
      </c>
      <c r="P93" s="10">
        <f>N93-O93*'تنظیمات'!$B$7</f>
        <v/>
      </c>
      <c r="Q93" s="20">
        <f>IF(J93=0,0,K93+IF(M93&lt;=O93,'تنظیمات'!$B$7,0)+IF(M93=1,P93,0))</f>
        <v/>
      </c>
      <c r="R93" s="22">
        <f>'سطرهای تسهیم'!F14</f>
        <v/>
      </c>
      <c r="S93" s="22">
        <f>'سطرهای تسهیم'!G14</f>
        <v/>
      </c>
      <c r="T93" s="4">
        <f>IFERROR(INDEX('دسته‌ها'!$D$5:$D$25,MATCH(S93,'دسته‌ها'!$A$5:$A$25,0)),"خیر")</f>
        <v/>
      </c>
    </row>
    <row r="94">
      <c r="A94" s="22">
        <f>'سطرهای تسهیم'!A14</f>
        <v/>
      </c>
      <c r="B94" s="22">
        <f>'سطرهای تسهیم'!B14</f>
        <v/>
      </c>
      <c r="C94" s="22">
        <f>'واحدها'!A13</f>
        <v/>
      </c>
      <c r="D94" s="12">
        <f>'واحدها'!H13</f>
        <v/>
      </c>
      <c r="E94" s="22">
        <f>'سطرهای تسهیم'!D14</f>
        <v/>
      </c>
      <c r="F94" s="19">
        <f>'سطرهای تسهیم'!E14</f>
        <v/>
      </c>
      <c r="G94" s="12">
        <f>IF('واحدها'!F13="بله",'شمول'!J9,0)</f>
        <v/>
      </c>
      <c r="H94" s="10">
        <f>CHOOSE(MATCH(E94,'فهرست‌ها'!$A$4:$A$13,0),1,'واحدها'!E13,'واحدها'!D13*100,'واحدها'!J13,'واحدها'!J13,'وزن‌ها'!J9,'وزن‌ها'!J9,'واحدها'!K13,'واحدها'!L13,0)</f>
        <v/>
      </c>
      <c r="I94" s="10">
        <f>G94*H94</f>
        <v/>
      </c>
      <c r="J94" s="10">
        <f>SUMIFS($I$5:$I$265,$A$5:$A$265,A94)</f>
        <v/>
      </c>
      <c r="K94" s="20">
        <f>IF(J94=0,0,'تنظیمات'!$B$7*INT(F94*I94/(J94*'تنظیمات'!$B$7)))</f>
        <v/>
      </c>
      <c r="L94" s="10">
        <f>IF(J94=0,0,F94*I94-J94*'تنظیمات'!$B$7*INT(F94*I94/(J94*'تنظیمات'!$B$7)))</f>
        <v/>
      </c>
      <c r="M94" s="10">
        <f>1+COUNTIFS($A$5:$A$265,A94,$L$5:$L$265,"&gt;"&amp;L94)+COUNTIFS($A$5:$A$265,A94,$L$5:$L$265,L94,$D$5:$D$265,"&lt;"&amp;D94)</f>
        <v/>
      </c>
      <c r="N94" s="20">
        <f>IF(J94=0,0,F94-SUMIFS($K$5:$K$265,$A$5:$A$265,A94))</f>
        <v/>
      </c>
      <c r="O94" s="10">
        <f>INT(N94/'تنظیمات'!$B$7)</f>
        <v/>
      </c>
      <c r="P94" s="10">
        <f>N94-O94*'تنظیمات'!$B$7</f>
        <v/>
      </c>
      <c r="Q94" s="20">
        <f>IF(J94=0,0,K94+IF(M94&lt;=O94,'تنظیمات'!$B$7,0)+IF(M94=1,P94,0))</f>
        <v/>
      </c>
      <c r="R94" s="22">
        <f>'سطرهای تسهیم'!F14</f>
        <v/>
      </c>
      <c r="S94" s="22">
        <f>'سطرهای تسهیم'!G14</f>
        <v/>
      </c>
      <c r="T94" s="4">
        <f>IFERROR(INDEX('دسته‌ها'!$D$5:$D$25,MATCH(S94,'دسته‌ها'!$A$5:$A$25,0)),"خیر")</f>
        <v/>
      </c>
    </row>
    <row r="95">
      <c r="A95" s="22">
        <f>'سطرهای تسهیم'!A15</f>
        <v/>
      </c>
      <c r="B95" s="22">
        <f>'سطرهای تسهیم'!B15</f>
        <v/>
      </c>
      <c r="C95" s="22">
        <f>'واحدها'!A5</f>
        <v/>
      </c>
      <c r="D95" s="12">
        <f>'واحدها'!H5</f>
        <v/>
      </c>
      <c r="E95" s="22">
        <f>'سطرهای تسهیم'!D15</f>
        <v/>
      </c>
      <c r="F95" s="19">
        <f>'سطرهای تسهیم'!E15</f>
        <v/>
      </c>
      <c r="G95" s="12">
        <f>IF('واحدها'!F5="بله",'شمول'!B10,0)</f>
        <v/>
      </c>
      <c r="H95" s="10">
        <f>CHOOSE(MATCH(E95,'فهرست‌ها'!$A$4:$A$13,0),1,'واحدها'!E5,'واحدها'!D5*100,'واحدها'!J5,'واحدها'!J5,'وزن‌ها'!B10,'وزن‌ها'!B10,'واحدها'!K5,'واحدها'!L5,0)</f>
        <v/>
      </c>
      <c r="I95" s="10">
        <f>G95*H95</f>
        <v/>
      </c>
      <c r="J95" s="10">
        <f>SUMIFS($I$5:$I$265,$A$5:$A$265,A95)</f>
        <v/>
      </c>
      <c r="K95" s="20">
        <f>IF(J95=0,0,'تنظیمات'!$B$7*INT(F95*I95/(J95*'تنظیمات'!$B$7)))</f>
        <v/>
      </c>
      <c r="L95" s="10">
        <f>IF(J95=0,0,F95*I95-J95*'تنظیمات'!$B$7*INT(F95*I95/(J95*'تنظیمات'!$B$7)))</f>
        <v/>
      </c>
      <c r="M95" s="10">
        <f>1+COUNTIFS($A$5:$A$265,A95,$L$5:$L$265,"&gt;"&amp;L95)+COUNTIFS($A$5:$A$265,A95,$L$5:$L$265,L95,$D$5:$D$265,"&lt;"&amp;D95)</f>
        <v/>
      </c>
      <c r="N95" s="20">
        <f>IF(J95=0,0,F95-SUMIFS($K$5:$K$265,$A$5:$A$265,A95))</f>
        <v/>
      </c>
      <c r="O95" s="10">
        <f>INT(N95/'تنظیمات'!$B$7)</f>
        <v/>
      </c>
      <c r="P95" s="10">
        <f>N95-O95*'تنظیمات'!$B$7</f>
        <v/>
      </c>
      <c r="Q95" s="20">
        <f>IF(J95=0,0,K95+IF(M95&lt;=O95,'تنظیمات'!$B$7,0)+IF(M95=1,P95,0))</f>
        <v/>
      </c>
      <c r="R95" s="22">
        <f>'سطرهای تسهیم'!F15</f>
        <v/>
      </c>
      <c r="S95" s="22">
        <f>'سطرهای تسهیم'!G15</f>
        <v/>
      </c>
      <c r="T95" s="4">
        <f>IFERROR(INDEX('دسته‌ها'!$D$5:$D$25,MATCH(S95,'دسته‌ها'!$A$5:$A$25,0)),"خیر")</f>
        <v/>
      </c>
    </row>
    <row r="96">
      <c r="A96" s="22">
        <f>'سطرهای تسهیم'!A15</f>
        <v/>
      </c>
      <c r="B96" s="22">
        <f>'سطرهای تسهیم'!B15</f>
        <v/>
      </c>
      <c r="C96" s="22">
        <f>'واحدها'!A6</f>
        <v/>
      </c>
      <c r="D96" s="12">
        <f>'واحدها'!H6</f>
        <v/>
      </c>
      <c r="E96" s="22">
        <f>'سطرهای تسهیم'!D15</f>
        <v/>
      </c>
      <c r="F96" s="19">
        <f>'سطرهای تسهیم'!E15</f>
        <v/>
      </c>
      <c r="G96" s="12">
        <f>IF('واحدها'!F6="بله",'شمول'!C10,0)</f>
        <v/>
      </c>
      <c r="H96" s="10">
        <f>CHOOSE(MATCH(E96,'فهرست‌ها'!$A$4:$A$13,0),1,'واحدها'!E6,'واحدها'!D6*100,'واحدها'!J6,'واحدها'!J6,'وزن‌ها'!C10,'وزن‌ها'!C10,'واحدها'!K6,'واحدها'!L6,0)</f>
        <v/>
      </c>
      <c r="I96" s="10">
        <f>G96*H96</f>
        <v/>
      </c>
      <c r="J96" s="10">
        <f>SUMIFS($I$5:$I$265,$A$5:$A$265,A96)</f>
        <v/>
      </c>
      <c r="K96" s="20">
        <f>IF(J96=0,0,'تنظیمات'!$B$7*INT(F96*I96/(J96*'تنظیمات'!$B$7)))</f>
        <v/>
      </c>
      <c r="L96" s="10">
        <f>IF(J96=0,0,F96*I96-J96*'تنظیمات'!$B$7*INT(F96*I96/(J96*'تنظیمات'!$B$7)))</f>
        <v/>
      </c>
      <c r="M96" s="10">
        <f>1+COUNTIFS($A$5:$A$265,A96,$L$5:$L$265,"&gt;"&amp;L96)+COUNTIFS($A$5:$A$265,A96,$L$5:$L$265,L96,$D$5:$D$265,"&lt;"&amp;D96)</f>
        <v/>
      </c>
      <c r="N96" s="20">
        <f>IF(J96=0,0,F96-SUMIFS($K$5:$K$265,$A$5:$A$265,A96))</f>
        <v/>
      </c>
      <c r="O96" s="10">
        <f>INT(N96/'تنظیمات'!$B$7)</f>
        <v/>
      </c>
      <c r="P96" s="10">
        <f>N96-O96*'تنظیمات'!$B$7</f>
        <v/>
      </c>
      <c r="Q96" s="20">
        <f>IF(J96=0,0,K96+IF(M96&lt;=O96,'تنظیمات'!$B$7,0)+IF(M96=1,P96,0))</f>
        <v/>
      </c>
      <c r="R96" s="22">
        <f>'سطرهای تسهیم'!F15</f>
        <v/>
      </c>
      <c r="S96" s="22">
        <f>'سطرهای تسهیم'!G15</f>
        <v/>
      </c>
      <c r="T96" s="4">
        <f>IFERROR(INDEX('دسته‌ها'!$D$5:$D$25,MATCH(S96,'دسته‌ها'!$A$5:$A$25,0)),"خیر")</f>
        <v/>
      </c>
    </row>
    <row r="97">
      <c r="A97" s="22">
        <f>'سطرهای تسهیم'!A15</f>
        <v/>
      </c>
      <c r="B97" s="22">
        <f>'سطرهای تسهیم'!B15</f>
        <v/>
      </c>
      <c r="C97" s="22">
        <f>'واحدها'!A7</f>
        <v/>
      </c>
      <c r="D97" s="12">
        <f>'واحدها'!H7</f>
        <v/>
      </c>
      <c r="E97" s="22">
        <f>'سطرهای تسهیم'!D15</f>
        <v/>
      </c>
      <c r="F97" s="19">
        <f>'سطرهای تسهیم'!E15</f>
        <v/>
      </c>
      <c r="G97" s="12">
        <f>IF('واحدها'!F7="بله",'شمول'!D10,0)</f>
        <v/>
      </c>
      <c r="H97" s="10">
        <f>CHOOSE(MATCH(E97,'فهرست‌ها'!$A$4:$A$13,0),1,'واحدها'!E7,'واحدها'!D7*100,'واحدها'!J7,'واحدها'!J7,'وزن‌ها'!D10,'وزن‌ها'!D10,'واحدها'!K7,'واحدها'!L7,0)</f>
        <v/>
      </c>
      <c r="I97" s="10">
        <f>G97*H97</f>
        <v/>
      </c>
      <c r="J97" s="10">
        <f>SUMIFS($I$5:$I$265,$A$5:$A$265,A97)</f>
        <v/>
      </c>
      <c r="K97" s="20">
        <f>IF(J97=0,0,'تنظیمات'!$B$7*INT(F97*I97/(J97*'تنظیمات'!$B$7)))</f>
        <v/>
      </c>
      <c r="L97" s="10">
        <f>IF(J97=0,0,F97*I97-J97*'تنظیمات'!$B$7*INT(F97*I97/(J97*'تنظیمات'!$B$7)))</f>
        <v/>
      </c>
      <c r="M97" s="10">
        <f>1+COUNTIFS($A$5:$A$265,A97,$L$5:$L$265,"&gt;"&amp;L97)+COUNTIFS($A$5:$A$265,A97,$L$5:$L$265,L97,$D$5:$D$265,"&lt;"&amp;D97)</f>
        <v/>
      </c>
      <c r="N97" s="20">
        <f>IF(J97=0,0,F97-SUMIFS($K$5:$K$265,$A$5:$A$265,A97))</f>
        <v/>
      </c>
      <c r="O97" s="10">
        <f>INT(N97/'تنظیمات'!$B$7)</f>
        <v/>
      </c>
      <c r="P97" s="10">
        <f>N97-O97*'تنظیمات'!$B$7</f>
        <v/>
      </c>
      <c r="Q97" s="20">
        <f>IF(J97=0,0,K97+IF(M97&lt;=O97,'تنظیمات'!$B$7,0)+IF(M97=1,P97,0))</f>
        <v/>
      </c>
      <c r="R97" s="22">
        <f>'سطرهای تسهیم'!F15</f>
        <v/>
      </c>
      <c r="S97" s="22">
        <f>'سطرهای تسهیم'!G15</f>
        <v/>
      </c>
      <c r="T97" s="4">
        <f>IFERROR(INDEX('دسته‌ها'!$D$5:$D$25,MATCH(S97,'دسته‌ها'!$A$5:$A$25,0)),"خیر")</f>
        <v/>
      </c>
    </row>
    <row r="98">
      <c r="A98" s="22">
        <f>'سطرهای تسهیم'!A15</f>
        <v/>
      </c>
      <c r="B98" s="22">
        <f>'سطرهای تسهیم'!B15</f>
        <v/>
      </c>
      <c r="C98" s="22">
        <f>'واحدها'!A8</f>
        <v/>
      </c>
      <c r="D98" s="12">
        <f>'واحدها'!H8</f>
        <v/>
      </c>
      <c r="E98" s="22">
        <f>'سطرهای تسهیم'!D15</f>
        <v/>
      </c>
      <c r="F98" s="19">
        <f>'سطرهای تسهیم'!E15</f>
        <v/>
      </c>
      <c r="G98" s="12">
        <f>IF('واحدها'!F8="بله",'شمول'!E10,0)</f>
        <v/>
      </c>
      <c r="H98" s="10">
        <f>CHOOSE(MATCH(E98,'فهرست‌ها'!$A$4:$A$13,0),1,'واحدها'!E8,'واحدها'!D8*100,'واحدها'!J8,'واحدها'!J8,'وزن‌ها'!E10,'وزن‌ها'!E10,'واحدها'!K8,'واحدها'!L8,0)</f>
        <v/>
      </c>
      <c r="I98" s="10">
        <f>G98*H98</f>
        <v/>
      </c>
      <c r="J98" s="10">
        <f>SUMIFS($I$5:$I$265,$A$5:$A$265,A98)</f>
        <v/>
      </c>
      <c r="K98" s="20">
        <f>IF(J98=0,0,'تنظیمات'!$B$7*INT(F98*I98/(J98*'تنظیمات'!$B$7)))</f>
        <v/>
      </c>
      <c r="L98" s="10">
        <f>IF(J98=0,0,F98*I98-J98*'تنظیمات'!$B$7*INT(F98*I98/(J98*'تنظیمات'!$B$7)))</f>
        <v/>
      </c>
      <c r="M98" s="10">
        <f>1+COUNTIFS($A$5:$A$265,A98,$L$5:$L$265,"&gt;"&amp;L98)+COUNTIFS($A$5:$A$265,A98,$L$5:$L$265,L98,$D$5:$D$265,"&lt;"&amp;D98)</f>
        <v/>
      </c>
      <c r="N98" s="20">
        <f>IF(J98=0,0,F98-SUMIFS($K$5:$K$265,$A$5:$A$265,A98))</f>
        <v/>
      </c>
      <c r="O98" s="10">
        <f>INT(N98/'تنظیمات'!$B$7)</f>
        <v/>
      </c>
      <c r="P98" s="10">
        <f>N98-O98*'تنظیمات'!$B$7</f>
        <v/>
      </c>
      <c r="Q98" s="20">
        <f>IF(J98=0,0,K98+IF(M98&lt;=O98,'تنظیمات'!$B$7,0)+IF(M98=1,P98,0))</f>
        <v/>
      </c>
      <c r="R98" s="22">
        <f>'سطرهای تسهیم'!F15</f>
        <v/>
      </c>
      <c r="S98" s="22">
        <f>'سطرهای تسهیم'!G15</f>
        <v/>
      </c>
      <c r="T98" s="4">
        <f>IFERROR(INDEX('دسته‌ها'!$D$5:$D$25,MATCH(S98,'دسته‌ها'!$A$5:$A$25,0)),"خیر")</f>
        <v/>
      </c>
    </row>
    <row r="99">
      <c r="A99" s="22">
        <f>'سطرهای تسهیم'!A15</f>
        <v/>
      </c>
      <c r="B99" s="22">
        <f>'سطرهای تسهیم'!B15</f>
        <v/>
      </c>
      <c r="C99" s="22">
        <f>'واحدها'!A9</f>
        <v/>
      </c>
      <c r="D99" s="12">
        <f>'واحدها'!H9</f>
        <v/>
      </c>
      <c r="E99" s="22">
        <f>'سطرهای تسهیم'!D15</f>
        <v/>
      </c>
      <c r="F99" s="19">
        <f>'سطرهای تسهیم'!E15</f>
        <v/>
      </c>
      <c r="G99" s="12">
        <f>IF('واحدها'!F9="بله",'شمول'!F10,0)</f>
        <v/>
      </c>
      <c r="H99" s="10">
        <f>CHOOSE(MATCH(E99,'فهرست‌ها'!$A$4:$A$13,0),1,'واحدها'!E9,'واحدها'!D9*100,'واحدها'!J9,'واحدها'!J9,'وزن‌ها'!F10,'وزن‌ها'!F10,'واحدها'!K9,'واحدها'!L9,0)</f>
        <v/>
      </c>
      <c r="I99" s="10">
        <f>G99*H99</f>
        <v/>
      </c>
      <c r="J99" s="10">
        <f>SUMIFS($I$5:$I$265,$A$5:$A$265,A99)</f>
        <v/>
      </c>
      <c r="K99" s="20">
        <f>IF(J99=0,0,'تنظیمات'!$B$7*INT(F99*I99/(J99*'تنظیمات'!$B$7)))</f>
        <v/>
      </c>
      <c r="L99" s="10">
        <f>IF(J99=0,0,F99*I99-J99*'تنظیمات'!$B$7*INT(F99*I99/(J99*'تنظیمات'!$B$7)))</f>
        <v/>
      </c>
      <c r="M99" s="10">
        <f>1+COUNTIFS($A$5:$A$265,A99,$L$5:$L$265,"&gt;"&amp;L99)+COUNTIFS($A$5:$A$265,A99,$L$5:$L$265,L99,$D$5:$D$265,"&lt;"&amp;D99)</f>
        <v/>
      </c>
      <c r="N99" s="20">
        <f>IF(J99=0,0,F99-SUMIFS($K$5:$K$265,$A$5:$A$265,A99))</f>
        <v/>
      </c>
      <c r="O99" s="10">
        <f>INT(N99/'تنظیمات'!$B$7)</f>
        <v/>
      </c>
      <c r="P99" s="10">
        <f>N99-O99*'تنظیمات'!$B$7</f>
        <v/>
      </c>
      <c r="Q99" s="20">
        <f>IF(J99=0,0,K99+IF(M99&lt;=O99,'تنظیمات'!$B$7,0)+IF(M99=1,P99,0))</f>
        <v/>
      </c>
      <c r="R99" s="22">
        <f>'سطرهای تسهیم'!F15</f>
        <v/>
      </c>
      <c r="S99" s="22">
        <f>'سطرهای تسهیم'!G15</f>
        <v/>
      </c>
      <c r="T99" s="4">
        <f>IFERROR(INDEX('دسته‌ها'!$D$5:$D$25,MATCH(S99,'دسته‌ها'!$A$5:$A$25,0)),"خیر")</f>
        <v/>
      </c>
    </row>
    <row r="100">
      <c r="A100" s="22">
        <f>'سطرهای تسهیم'!A15</f>
        <v/>
      </c>
      <c r="B100" s="22">
        <f>'سطرهای تسهیم'!B15</f>
        <v/>
      </c>
      <c r="C100" s="22">
        <f>'واحدها'!A10</f>
        <v/>
      </c>
      <c r="D100" s="12">
        <f>'واحدها'!H10</f>
        <v/>
      </c>
      <c r="E100" s="22">
        <f>'سطرهای تسهیم'!D15</f>
        <v/>
      </c>
      <c r="F100" s="19">
        <f>'سطرهای تسهیم'!E15</f>
        <v/>
      </c>
      <c r="G100" s="12">
        <f>IF('واحدها'!F10="بله",'شمول'!G10,0)</f>
        <v/>
      </c>
      <c r="H100" s="10">
        <f>CHOOSE(MATCH(E100,'فهرست‌ها'!$A$4:$A$13,0),1,'واحدها'!E10,'واحدها'!D10*100,'واحدها'!J10,'واحدها'!J10,'وزن‌ها'!G10,'وزن‌ها'!G10,'واحدها'!K10,'واحدها'!L10,0)</f>
        <v/>
      </c>
      <c r="I100" s="10">
        <f>G100*H100</f>
        <v/>
      </c>
      <c r="J100" s="10">
        <f>SUMIFS($I$5:$I$265,$A$5:$A$265,A100)</f>
        <v/>
      </c>
      <c r="K100" s="20">
        <f>IF(J100=0,0,'تنظیمات'!$B$7*INT(F100*I100/(J100*'تنظیمات'!$B$7)))</f>
        <v/>
      </c>
      <c r="L100" s="10">
        <f>IF(J100=0,0,F100*I100-J100*'تنظیمات'!$B$7*INT(F100*I100/(J100*'تنظیمات'!$B$7)))</f>
        <v/>
      </c>
      <c r="M100" s="10">
        <f>1+COUNTIFS($A$5:$A$265,A100,$L$5:$L$265,"&gt;"&amp;L100)+COUNTIFS($A$5:$A$265,A100,$L$5:$L$265,L100,$D$5:$D$265,"&lt;"&amp;D100)</f>
        <v/>
      </c>
      <c r="N100" s="20">
        <f>IF(J100=0,0,F100-SUMIFS($K$5:$K$265,$A$5:$A$265,A100))</f>
        <v/>
      </c>
      <c r="O100" s="10">
        <f>INT(N100/'تنظیمات'!$B$7)</f>
        <v/>
      </c>
      <c r="P100" s="10">
        <f>N100-O100*'تنظیمات'!$B$7</f>
        <v/>
      </c>
      <c r="Q100" s="20">
        <f>IF(J100=0,0,K100+IF(M100&lt;=O100,'تنظیمات'!$B$7,0)+IF(M100=1,P100,0))</f>
        <v/>
      </c>
      <c r="R100" s="22">
        <f>'سطرهای تسهیم'!F15</f>
        <v/>
      </c>
      <c r="S100" s="22">
        <f>'سطرهای تسهیم'!G15</f>
        <v/>
      </c>
      <c r="T100" s="4">
        <f>IFERROR(INDEX('دسته‌ها'!$D$5:$D$25,MATCH(S100,'دسته‌ها'!$A$5:$A$25,0)),"خیر")</f>
        <v/>
      </c>
    </row>
    <row r="101">
      <c r="A101" s="22">
        <f>'سطرهای تسهیم'!A15</f>
        <v/>
      </c>
      <c r="B101" s="22">
        <f>'سطرهای تسهیم'!B15</f>
        <v/>
      </c>
      <c r="C101" s="22">
        <f>'واحدها'!A11</f>
        <v/>
      </c>
      <c r="D101" s="12">
        <f>'واحدها'!H11</f>
        <v/>
      </c>
      <c r="E101" s="22">
        <f>'سطرهای تسهیم'!D15</f>
        <v/>
      </c>
      <c r="F101" s="19">
        <f>'سطرهای تسهیم'!E15</f>
        <v/>
      </c>
      <c r="G101" s="12">
        <f>IF('واحدها'!F11="بله",'شمول'!H10,0)</f>
        <v/>
      </c>
      <c r="H101" s="10">
        <f>CHOOSE(MATCH(E101,'فهرست‌ها'!$A$4:$A$13,0),1,'واحدها'!E11,'واحدها'!D11*100,'واحدها'!J11,'واحدها'!J11,'وزن‌ها'!H10,'وزن‌ها'!H10,'واحدها'!K11,'واحدها'!L11,0)</f>
        <v/>
      </c>
      <c r="I101" s="10">
        <f>G101*H101</f>
        <v/>
      </c>
      <c r="J101" s="10">
        <f>SUMIFS($I$5:$I$265,$A$5:$A$265,A101)</f>
        <v/>
      </c>
      <c r="K101" s="20">
        <f>IF(J101=0,0,'تنظیمات'!$B$7*INT(F101*I101/(J101*'تنظیمات'!$B$7)))</f>
        <v/>
      </c>
      <c r="L101" s="10">
        <f>IF(J101=0,0,F101*I101-J101*'تنظیمات'!$B$7*INT(F101*I101/(J101*'تنظیمات'!$B$7)))</f>
        <v/>
      </c>
      <c r="M101" s="10">
        <f>1+COUNTIFS($A$5:$A$265,A101,$L$5:$L$265,"&gt;"&amp;L101)+COUNTIFS($A$5:$A$265,A101,$L$5:$L$265,L101,$D$5:$D$265,"&lt;"&amp;D101)</f>
        <v/>
      </c>
      <c r="N101" s="20">
        <f>IF(J101=0,0,F101-SUMIFS($K$5:$K$265,$A$5:$A$265,A101))</f>
        <v/>
      </c>
      <c r="O101" s="10">
        <f>INT(N101/'تنظیمات'!$B$7)</f>
        <v/>
      </c>
      <c r="P101" s="10">
        <f>N101-O101*'تنظیمات'!$B$7</f>
        <v/>
      </c>
      <c r="Q101" s="20">
        <f>IF(J101=0,0,K101+IF(M101&lt;=O101,'تنظیمات'!$B$7,0)+IF(M101=1,P101,0))</f>
        <v/>
      </c>
      <c r="R101" s="22">
        <f>'سطرهای تسهیم'!F15</f>
        <v/>
      </c>
      <c r="S101" s="22">
        <f>'سطرهای تسهیم'!G15</f>
        <v/>
      </c>
      <c r="T101" s="4">
        <f>IFERROR(INDEX('دسته‌ها'!$D$5:$D$25,MATCH(S101,'دسته‌ها'!$A$5:$A$25,0)),"خیر")</f>
        <v/>
      </c>
    </row>
    <row r="102">
      <c r="A102" s="22">
        <f>'سطرهای تسهیم'!A15</f>
        <v/>
      </c>
      <c r="B102" s="22">
        <f>'سطرهای تسهیم'!B15</f>
        <v/>
      </c>
      <c r="C102" s="22">
        <f>'واحدها'!A12</f>
        <v/>
      </c>
      <c r="D102" s="12">
        <f>'واحدها'!H12</f>
        <v/>
      </c>
      <c r="E102" s="22">
        <f>'سطرهای تسهیم'!D15</f>
        <v/>
      </c>
      <c r="F102" s="19">
        <f>'سطرهای تسهیم'!E15</f>
        <v/>
      </c>
      <c r="G102" s="12">
        <f>IF('واحدها'!F12="بله",'شمول'!I10,0)</f>
        <v/>
      </c>
      <c r="H102" s="10">
        <f>CHOOSE(MATCH(E102,'فهرست‌ها'!$A$4:$A$13,0),1,'واحدها'!E12,'واحدها'!D12*100,'واحدها'!J12,'واحدها'!J12,'وزن‌ها'!I10,'وزن‌ها'!I10,'واحدها'!K12,'واحدها'!L12,0)</f>
        <v/>
      </c>
      <c r="I102" s="10">
        <f>G102*H102</f>
        <v/>
      </c>
      <c r="J102" s="10">
        <f>SUMIFS($I$5:$I$265,$A$5:$A$265,A102)</f>
        <v/>
      </c>
      <c r="K102" s="20">
        <f>IF(J102=0,0,'تنظیمات'!$B$7*INT(F102*I102/(J102*'تنظیمات'!$B$7)))</f>
        <v/>
      </c>
      <c r="L102" s="10">
        <f>IF(J102=0,0,F102*I102-J102*'تنظیمات'!$B$7*INT(F102*I102/(J102*'تنظیمات'!$B$7)))</f>
        <v/>
      </c>
      <c r="M102" s="10">
        <f>1+COUNTIFS($A$5:$A$265,A102,$L$5:$L$265,"&gt;"&amp;L102)+COUNTIFS($A$5:$A$265,A102,$L$5:$L$265,L102,$D$5:$D$265,"&lt;"&amp;D102)</f>
        <v/>
      </c>
      <c r="N102" s="20">
        <f>IF(J102=0,0,F102-SUMIFS($K$5:$K$265,$A$5:$A$265,A102))</f>
        <v/>
      </c>
      <c r="O102" s="10">
        <f>INT(N102/'تنظیمات'!$B$7)</f>
        <v/>
      </c>
      <c r="P102" s="10">
        <f>N102-O102*'تنظیمات'!$B$7</f>
        <v/>
      </c>
      <c r="Q102" s="20">
        <f>IF(J102=0,0,K102+IF(M102&lt;=O102,'تنظیمات'!$B$7,0)+IF(M102=1,P102,0))</f>
        <v/>
      </c>
      <c r="R102" s="22">
        <f>'سطرهای تسهیم'!F15</f>
        <v/>
      </c>
      <c r="S102" s="22">
        <f>'سطرهای تسهیم'!G15</f>
        <v/>
      </c>
      <c r="T102" s="4">
        <f>IFERROR(INDEX('دسته‌ها'!$D$5:$D$25,MATCH(S102,'دسته‌ها'!$A$5:$A$25,0)),"خیر")</f>
        <v/>
      </c>
    </row>
    <row r="103">
      <c r="A103" s="22">
        <f>'سطرهای تسهیم'!A15</f>
        <v/>
      </c>
      <c r="B103" s="22">
        <f>'سطرهای تسهیم'!B15</f>
        <v/>
      </c>
      <c r="C103" s="22">
        <f>'واحدها'!A13</f>
        <v/>
      </c>
      <c r="D103" s="12">
        <f>'واحدها'!H13</f>
        <v/>
      </c>
      <c r="E103" s="22">
        <f>'سطرهای تسهیم'!D15</f>
        <v/>
      </c>
      <c r="F103" s="19">
        <f>'سطرهای تسهیم'!E15</f>
        <v/>
      </c>
      <c r="G103" s="12">
        <f>IF('واحدها'!F13="بله",'شمول'!J10,0)</f>
        <v/>
      </c>
      <c r="H103" s="10">
        <f>CHOOSE(MATCH(E103,'فهرست‌ها'!$A$4:$A$13,0),1,'واحدها'!E13,'واحدها'!D13*100,'واحدها'!J13,'واحدها'!J13,'وزن‌ها'!J10,'وزن‌ها'!J10,'واحدها'!K13,'واحدها'!L13,0)</f>
        <v/>
      </c>
      <c r="I103" s="10">
        <f>G103*H103</f>
        <v/>
      </c>
      <c r="J103" s="10">
        <f>SUMIFS($I$5:$I$265,$A$5:$A$265,A103)</f>
        <v/>
      </c>
      <c r="K103" s="20">
        <f>IF(J103=0,0,'تنظیمات'!$B$7*INT(F103*I103/(J103*'تنظیمات'!$B$7)))</f>
        <v/>
      </c>
      <c r="L103" s="10">
        <f>IF(J103=0,0,F103*I103-J103*'تنظیمات'!$B$7*INT(F103*I103/(J103*'تنظیمات'!$B$7)))</f>
        <v/>
      </c>
      <c r="M103" s="10">
        <f>1+COUNTIFS($A$5:$A$265,A103,$L$5:$L$265,"&gt;"&amp;L103)+COUNTIFS($A$5:$A$265,A103,$L$5:$L$265,L103,$D$5:$D$265,"&lt;"&amp;D103)</f>
        <v/>
      </c>
      <c r="N103" s="20">
        <f>IF(J103=0,0,F103-SUMIFS($K$5:$K$265,$A$5:$A$265,A103))</f>
        <v/>
      </c>
      <c r="O103" s="10">
        <f>INT(N103/'تنظیمات'!$B$7)</f>
        <v/>
      </c>
      <c r="P103" s="10">
        <f>N103-O103*'تنظیمات'!$B$7</f>
        <v/>
      </c>
      <c r="Q103" s="20">
        <f>IF(J103=0,0,K103+IF(M103&lt;=O103,'تنظیمات'!$B$7,0)+IF(M103=1,P103,0))</f>
        <v/>
      </c>
      <c r="R103" s="22">
        <f>'سطرهای تسهیم'!F15</f>
        <v/>
      </c>
      <c r="S103" s="22">
        <f>'سطرهای تسهیم'!G15</f>
        <v/>
      </c>
      <c r="T103" s="4">
        <f>IFERROR(INDEX('دسته‌ها'!$D$5:$D$25,MATCH(S103,'دسته‌ها'!$A$5:$A$25,0)),"خیر")</f>
        <v/>
      </c>
    </row>
    <row r="104">
      <c r="A104" s="22">
        <f>'سطرهای تسهیم'!A16</f>
        <v/>
      </c>
      <c r="B104" s="22">
        <f>'سطرهای تسهیم'!B16</f>
        <v/>
      </c>
      <c r="C104" s="22">
        <f>'واحدها'!A5</f>
        <v/>
      </c>
      <c r="D104" s="12">
        <f>'واحدها'!H5</f>
        <v/>
      </c>
      <c r="E104" s="22">
        <f>'سطرهای تسهیم'!D16</f>
        <v/>
      </c>
      <c r="F104" s="19">
        <f>'سطرهای تسهیم'!E16</f>
        <v/>
      </c>
      <c r="G104" s="12">
        <f>IF('واحدها'!F5="بله",'شمول'!B10,0)</f>
        <v/>
      </c>
      <c r="H104" s="10">
        <f>CHOOSE(MATCH(E104,'فهرست‌ها'!$A$4:$A$13,0),1,'واحدها'!E5,'واحدها'!D5*100,'واحدها'!J5,'واحدها'!J5,'وزن‌ها'!B10,'وزن‌ها'!B10,'واحدها'!K5,'واحدها'!L5,0)</f>
        <v/>
      </c>
      <c r="I104" s="10">
        <f>G104*H104</f>
        <v/>
      </c>
      <c r="J104" s="10">
        <f>SUMIFS($I$5:$I$265,$A$5:$A$265,A104)</f>
        <v/>
      </c>
      <c r="K104" s="20">
        <f>IF(J104=0,0,'تنظیمات'!$B$7*INT(F104*I104/(J104*'تنظیمات'!$B$7)))</f>
        <v/>
      </c>
      <c r="L104" s="10">
        <f>IF(J104=0,0,F104*I104-J104*'تنظیمات'!$B$7*INT(F104*I104/(J104*'تنظیمات'!$B$7)))</f>
        <v/>
      </c>
      <c r="M104" s="10">
        <f>1+COUNTIFS($A$5:$A$265,A104,$L$5:$L$265,"&gt;"&amp;L104)+COUNTIFS($A$5:$A$265,A104,$L$5:$L$265,L104,$D$5:$D$265,"&lt;"&amp;D104)</f>
        <v/>
      </c>
      <c r="N104" s="20">
        <f>IF(J104=0,0,F104-SUMIFS($K$5:$K$265,$A$5:$A$265,A104))</f>
        <v/>
      </c>
      <c r="O104" s="10">
        <f>INT(N104/'تنظیمات'!$B$7)</f>
        <v/>
      </c>
      <c r="P104" s="10">
        <f>N104-O104*'تنظیمات'!$B$7</f>
        <v/>
      </c>
      <c r="Q104" s="20">
        <f>IF(J104=0,0,K104+IF(M104&lt;=O104,'تنظیمات'!$B$7,0)+IF(M104=1,P104,0))</f>
        <v/>
      </c>
      <c r="R104" s="22">
        <f>'سطرهای تسهیم'!F16</f>
        <v/>
      </c>
      <c r="S104" s="22">
        <f>'سطرهای تسهیم'!G16</f>
        <v/>
      </c>
      <c r="T104" s="4">
        <f>IFERROR(INDEX('دسته‌ها'!$D$5:$D$25,MATCH(S104,'دسته‌ها'!$A$5:$A$25,0)),"خیر")</f>
        <v/>
      </c>
    </row>
    <row r="105">
      <c r="A105" s="22">
        <f>'سطرهای تسهیم'!A16</f>
        <v/>
      </c>
      <c r="B105" s="22">
        <f>'سطرهای تسهیم'!B16</f>
        <v/>
      </c>
      <c r="C105" s="22">
        <f>'واحدها'!A6</f>
        <v/>
      </c>
      <c r="D105" s="12">
        <f>'واحدها'!H6</f>
        <v/>
      </c>
      <c r="E105" s="22">
        <f>'سطرهای تسهیم'!D16</f>
        <v/>
      </c>
      <c r="F105" s="19">
        <f>'سطرهای تسهیم'!E16</f>
        <v/>
      </c>
      <c r="G105" s="12">
        <f>IF('واحدها'!F6="بله",'شمول'!C10,0)</f>
        <v/>
      </c>
      <c r="H105" s="10">
        <f>CHOOSE(MATCH(E105,'فهرست‌ها'!$A$4:$A$13,0),1,'واحدها'!E6,'واحدها'!D6*100,'واحدها'!J6,'واحدها'!J6,'وزن‌ها'!C10,'وزن‌ها'!C10,'واحدها'!K6,'واحدها'!L6,0)</f>
        <v/>
      </c>
      <c r="I105" s="10">
        <f>G105*H105</f>
        <v/>
      </c>
      <c r="J105" s="10">
        <f>SUMIFS($I$5:$I$265,$A$5:$A$265,A105)</f>
        <v/>
      </c>
      <c r="K105" s="20">
        <f>IF(J105=0,0,'تنظیمات'!$B$7*INT(F105*I105/(J105*'تنظیمات'!$B$7)))</f>
        <v/>
      </c>
      <c r="L105" s="10">
        <f>IF(J105=0,0,F105*I105-J105*'تنظیمات'!$B$7*INT(F105*I105/(J105*'تنظیمات'!$B$7)))</f>
        <v/>
      </c>
      <c r="M105" s="10">
        <f>1+COUNTIFS($A$5:$A$265,A105,$L$5:$L$265,"&gt;"&amp;L105)+COUNTIFS($A$5:$A$265,A105,$L$5:$L$265,L105,$D$5:$D$265,"&lt;"&amp;D105)</f>
        <v/>
      </c>
      <c r="N105" s="20">
        <f>IF(J105=0,0,F105-SUMIFS($K$5:$K$265,$A$5:$A$265,A105))</f>
        <v/>
      </c>
      <c r="O105" s="10">
        <f>INT(N105/'تنظیمات'!$B$7)</f>
        <v/>
      </c>
      <c r="P105" s="10">
        <f>N105-O105*'تنظیمات'!$B$7</f>
        <v/>
      </c>
      <c r="Q105" s="20">
        <f>IF(J105=0,0,K105+IF(M105&lt;=O105,'تنظیمات'!$B$7,0)+IF(M105=1,P105,0))</f>
        <v/>
      </c>
      <c r="R105" s="22">
        <f>'سطرهای تسهیم'!F16</f>
        <v/>
      </c>
      <c r="S105" s="22">
        <f>'سطرهای تسهیم'!G16</f>
        <v/>
      </c>
      <c r="T105" s="4">
        <f>IFERROR(INDEX('دسته‌ها'!$D$5:$D$25,MATCH(S105,'دسته‌ها'!$A$5:$A$25,0)),"خیر")</f>
        <v/>
      </c>
    </row>
    <row r="106">
      <c r="A106" s="22">
        <f>'سطرهای تسهیم'!A16</f>
        <v/>
      </c>
      <c r="B106" s="22">
        <f>'سطرهای تسهیم'!B16</f>
        <v/>
      </c>
      <c r="C106" s="22">
        <f>'واحدها'!A7</f>
        <v/>
      </c>
      <c r="D106" s="12">
        <f>'واحدها'!H7</f>
        <v/>
      </c>
      <c r="E106" s="22">
        <f>'سطرهای تسهیم'!D16</f>
        <v/>
      </c>
      <c r="F106" s="19">
        <f>'سطرهای تسهیم'!E16</f>
        <v/>
      </c>
      <c r="G106" s="12">
        <f>IF('واحدها'!F7="بله",'شمول'!D10,0)</f>
        <v/>
      </c>
      <c r="H106" s="10">
        <f>CHOOSE(MATCH(E106,'فهرست‌ها'!$A$4:$A$13,0),1,'واحدها'!E7,'واحدها'!D7*100,'واحدها'!J7,'واحدها'!J7,'وزن‌ها'!D10,'وزن‌ها'!D10,'واحدها'!K7,'واحدها'!L7,0)</f>
        <v/>
      </c>
      <c r="I106" s="10">
        <f>G106*H106</f>
        <v/>
      </c>
      <c r="J106" s="10">
        <f>SUMIFS($I$5:$I$265,$A$5:$A$265,A106)</f>
        <v/>
      </c>
      <c r="K106" s="20">
        <f>IF(J106=0,0,'تنظیمات'!$B$7*INT(F106*I106/(J106*'تنظیمات'!$B$7)))</f>
        <v/>
      </c>
      <c r="L106" s="10">
        <f>IF(J106=0,0,F106*I106-J106*'تنظیمات'!$B$7*INT(F106*I106/(J106*'تنظیمات'!$B$7)))</f>
        <v/>
      </c>
      <c r="M106" s="10">
        <f>1+COUNTIFS($A$5:$A$265,A106,$L$5:$L$265,"&gt;"&amp;L106)+COUNTIFS($A$5:$A$265,A106,$L$5:$L$265,L106,$D$5:$D$265,"&lt;"&amp;D106)</f>
        <v/>
      </c>
      <c r="N106" s="20">
        <f>IF(J106=0,0,F106-SUMIFS($K$5:$K$265,$A$5:$A$265,A106))</f>
        <v/>
      </c>
      <c r="O106" s="10">
        <f>INT(N106/'تنظیمات'!$B$7)</f>
        <v/>
      </c>
      <c r="P106" s="10">
        <f>N106-O106*'تنظیمات'!$B$7</f>
        <v/>
      </c>
      <c r="Q106" s="20">
        <f>IF(J106=0,0,K106+IF(M106&lt;=O106,'تنظیمات'!$B$7,0)+IF(M106=1,P106,0))</f>
        <v/>
      </c>
      <c r="R106" s="22">
        <f>'سطرهای تسهیم'!F16</f>
        <v/>
      </c>
      <c r="S106" s="22">
        <f>'سطرهای تسهیم'!G16</f>
        <v/>
      </c>
      <c r="T106" s="4">
        <f>IFERROR(INDEX('دسته‌ها'!$D$5:$D$25,MATCH(S106,'دسته‌ها'!$A$5:$A$25,0)),"خیر")</f>
        <v/>
      </c>
    </row>
    <row r="107">
      <c r="A107" s="22">
        <f>'سطرهای تسهیم'!A16</f>
        <v/>
      </c>
      <c r="B107" s="22">
        <f>'سطرهای تسهیم'!B16</f>
        <v/>
      </c>
      <c r="C107" s="22">
        <f>'واحدها'!A8</f>
        <v/>
      </c>
      <c r="D107" s="12">
        <f>'واحدها'!H8</f>
        <v/>
      </c>
      <c r="E107" s="22">
        <f>'سطرهای تسهیم'!D16</f>
        <v/>
      </c>
      <c r="F107" s="19">
        <f>'سطرهای تسهیم'!E16</f>
        <v/>
      </c>
      <c r="G107" s="12">
        <f>IF('واحدها'!F8="بله",'شمول'!E10,0)</f>
        <v/>
      </c>
      <c r="H107" s="10">
        <f>CHOOSE(MATCH(E107,'فهرست‌ها'!$A$4:$A$13,0),1,'واحدها'!E8,'واحدها'!D8*100,'واحدها'!J8,'واحدها'!J8,'وزن‌ها'!E10,'وزن‌ها'!E10,'واحدها'!K8,'واحدها'!L8,0)</f>
        <v/>
      </c>
      <c r="I107" s="10">
        <f>G107*H107</f>
        <v/>
      </c>
      <c r="J107" s="10">
        <f>SUMIFS($I$5:$I$265,$A$5:$A$265,A107)</f>
        <v/>
      </c>
      <c r="K107" s="20">
        <f>IF(J107=0,0,'تنظیمات'!$B$7*INT(F107*I107/(J107*'تنظیمات'!$B$7)))</f>
        <v/>
      </c>
      <c r="L107" s="10">
        <f>IF(J107=0,0,F107*I107-J107*'تنظیمات'!$B$7*INT(F107*I107/(J107*'تنظیمات'!$B$7)))</f>
        <v/>
      </c>
      <c r="M107" s="10">
        <f>1+COUNTIFS($A$5:$A$265,A107,$L$5:$L$265,"&gt;"&amp;L107)+COUNTIFS($A$5:$A$265,A107,$L$5:$L$265,L107,$D$5:$D$265,"&lt;"&amp;D107)</f>
        <v/>
      </c>
      <c r="N107" s="20">
        <f>IF(J107=0,0,F107-SUMIFS($K$5:$K$265,$A$5:$A$265,A107))</f>
        <v/>
      </c>
      <c r="O107" s="10">
        <f>INT(N107/'تنظیمات'!$B$7)</f>
        <v/>
      </c>
      <c r="P107" s="10">
        <f>N107-O107*'تنظیمات'!$B$7</f>
        <v/>
      </c>
      <c r="Q107" s="20">
        <f>IF(J107=0,0,K107+IF(M107&lt;=O107,'تنظیمات'!$B$7,0)+IF(M107=1,P107,0))</f>
        <v/>
      </c>
      <c r="R107" s="22">
        <f>'سطرهای تسهیم'!F16</f>
        <v/>
      </c>
      <c r="S107" s="22">
        <f>'سطرهای تسهیم'!G16</f>
        <v/>
      </c>
      <c r="T107" s="4">
        <f>IFERROR(INDEX('دسته‌ها'!$D$5:$D$25,MATCH(S107,'دسته‌ها'!$A$5:$A$25,0)),"خیر")</f>
        <v/>
      </c>
    </row>
    <row r="108">
      <c r="A108" s="22">
        <f>'سطرهای تسهیم'!A16</f>
        <v/>
      </c>
      <c r="B108" s="22">
        <f>'سطرهای تسهیم'!B16</f>
        <v/>
      </c>
      <c r="C108" s="22">
        <f>'واحدها'!A9</f>
        <v/>
      </c>
      <c r="D108" s="12">
        <f>'واحدها'!H9</f>
        <v/>
      </c>
      <c r="E108" s="22">
        <f>'سطرهای تسهیم'!D16</f>
        <v/>
      </c>
      <c r="F108" s="19">
        <f>'سطرهای تسهیم'!E16</f>
        <v/>
      </c>
      <c r="G108" s="12">
        <f>IF('واحدها'!F9="بله",'شمول'!F10,0)</f>
        <v/>
      </c>
      <c r="H108" s="10">
        <f>CHOOSE(MATCH(E108,'فهرست‌ها'!$A$4:$A$13,0),1,'واحدها'!E9,'واحدها'!D9*100,'واحدها'!J9,'واحدها'!J9,'وزن‌ها'!F10,'وزن‌ها'!F10,'واحدها'!K9,'واحدها'!L9,0)</f>
        <v/>
      </c>
      <c r="I108" s="10">
        <f>G108*H108</f>
        <v/>
      </c>
      <c r="J108" s="10">
        <f>SUMIFS($I$5:$I$265,$A$5:$A$265,A108)</f>
        <v/>
      </c>
      <c r="K108" s="20">
        <f>IF(J108=0,0,'تنظیمات'!$B$7*INT(F108*I108/(J108*'تنظیمات'!$B$7)))</f>
        <v/>
      </c>
      <c r="L108" s="10">
        <f>IF(J108=0,0,F108*I108-J108*'تنظیمات'!$B$7*INT(F108*I108/(J108*'تنظیمات'!$B$7)))</f>
        <v/>
      </c>
      <c r="M108" s="10">
        <f>1+COUNTIFS($A$5:$A$265,A108,$L$5:$L$265,"&gt;"&amp;L108)+COUNTIFS($A$5:$A$265,A108,$L$5:$L$265,L108,$D$5:$D$265,"&lt;"&amp;D108)</f>
        <v/>
      </c>
      <c r="N108" s="20">
        <f>IF(J108=0,0,F108-SUMIFS($K$5:$K$265,$A$5:$A$265,A108))</f>
        <v/>
      </c>
      <c r="O108" s="10">
        <f>INT(N108/'تنظیمات'!$B$7)</f>
        <v/>
      </c>
      <c r="P108" s="10">
        <f>N108-O108*'تنظیمات'!$B$7</f>
        <v/>
      </c>
      <c r="Q108" s="20">
        <f>IF(J108=0,0,K108+IF(M108&lt;=O108,'تنظیمات'!$B$7,0)+IF(M108=1,P108,0))</f>
        <v/>
      </c>
      <c r="R108" s="22">
        <f>'سطرهای تسهیم'!F16</f>
        <v/>
      </c>
      <c r="S108" s="22">
        <f>'سطرهای تسهیم'!G16</f>
        <v/>
      </c>
      <c r="T108" s="4">
        <f>IFERROR(INDEX('دسته‌ها'!$D$5:$D$25,MATCH(S108,'دسته‌ها'!$A$5:$A$25,0)),"خیر")</f>
        <v/>
      </c>
    </row>
    <row r="109">
      <c r="A109" s="22">
        <f>'سطرهای تسهیم'!A16</f>
        <v/>
      </c>
      <c r="B109" s="22">
        <f>'سطرهای تسهیم'!B16</f>
        <v/>
      </c>
      <c r="C109" s="22">
        <f>'واحدها'!A10</f>
        <v/>
      </c>
      <c r="D109" s="12">
        <f>'واحدها'!H10</f>
        <v/>
      </c>
      <c r="E109" s="22">
        <f>'سطرهای تسهیم'!D16</f>
        <v/>
      </c>
      <c r="F109" s="19">
        <f>'سطرهای تسهیم'!E16</f>
        <v/>
      </c>
      <c r="G109" s="12">
        <f>IF('واحدها'!F10="بله",'شمول'!G10,0)</f>
        <v/>
      </c>
      <c r="H109" s="10">
        <f>CHOOSE(MATCH(E109,'فهرست‌ها'!$A$4:$A$13,0),1,'واحدها'!E10,'واحدها'!D10*100,'واحدها'!J10,'واحدها'!J10,'وزن‌ها'!G10,'وزن‌ها'!G10,'واحدها'!K10,'واحدها'!L10,0)</f>
        <v/>
      </c>
      <c r="I109" s="10">
        <f>G109*H109</f>
        <v/>
      </c>
      <c r="J109" s="10">
        <f>SUMIFS($I$5:$I$265,$A$5:$A$265,A109)</f>
        <v/>
      </c>
      <c r="K109" s="20">
        <f>IF(J109=0,0,'تنظیمات'!$B$7*INT(F109*I109/(J109*'تنظیمات'!$B$7)))</f>
        <v/>
      </c>
      <c r="L109" s="10">
        <f>IF(J109=0,0,F109*I109-J109*'تنظیمات'!$B$7*INT(F109*I109/(J109*'تنظیمات'!$B$7)))</f>
        <v/>
      </c>
      <c r="M109" s="10">
        <f>1+COUNTIFS($A$5:$A$265,A109,$L$5:$L$265,"&gt;"&amp;L109)+COUNTIFS($A$5:$A$265,A109,$L$5:$L$265,L109,$D$5:$D$265,"&lt;"&amp;D109)</f>
        <v/>
      </c>
      <c r="N109" s="20">
        <f>IF(J109=0,0,F109-SUMIFS($K$5:$K$265,$A$5:$A$265,A109))</f>
        <v/>
      </c>
      <c r="O109" s="10">
        <f>INT(N109/'تنظیمات'!$B$7)</f>
        <v/>
      </c>
      <c r="P109" s="10">
        <f>N109-O109*'تنظیمات'!$B$7</f>
        <v/>
      </c>
      <c r="Q109" s="20">
        <f>IF(J109=0,0,K109+IF(M109&lt;=O109,'تنظیمات'!$B$7,0)+IF(M109=1,P109,0))</f>
        <v/>
      </c>
      <c r="R109" s="22">
        <f>'سطرهای تسهیم'!F16</f>
        <v/>
      </c>
      <c r="S109" s="22">
        <f>'سطرهای تسهیم'!G16</f>
        <v/>
      </c>
      <c r="T109" s="4">
        <f>IFERROR(INDEX('دسته‌ها'!$D$5:$D$25,MATCH(S109,'دسته‌ها'!$A$5:$A$25,0)),"خیر")</f>
        <v/>
      </c>
    </row>
    <row r="110">
      <c r="A110" s="22">
        <f>'سطرهای تسهیم'!A16</f>
        <v/>
      </c>
      <c r="B110" s="22">
        <f>'سطرهای تسهیم'!B16</f>
        <v/>
      </c>
      <c r="C110" s="22">
        <f>'واحدها'!A11</f>
        <v/>
      </c>
      <c r="D110" s="12">
        <f>'واحدها'!H11</f>
        <v/>
      </c>
      <c r="E110" s="22">
        <f>'سطرهای تسهیم'!D16</f>
        <v/>
      </c>
      <c r="F110" s="19">
        <f>'سطرهای تسهیم'!E16</f>
        <v/>
      </c>
      <c r="G110" s="12">
        <f>IF('واحدها'!F11="بله",'شمول'!H10,0)</f>
        <v/>
      </c>
      <c r="H110" s="10">
        <f>CHOOSE(MATCH(E110,'فهرست‌ها'!$A$4:$A$13,0),1,'واحدها'!E11,'واحدها'!D11*100,'واحدها'!J11,'واحدها'!J11,'وزن‌ها'!H10,'وزن‌ها'!H10,'واحدها'!K11,'واحدها'!L11,0)</f>
        <v/>
      </c>
      <c r="I110" s="10">
        <f>G110*H110</f>
        <v/>
      </c>
      <c r="J110" s="10">
        <f>SUMIFS($I$5:$I$265,$A$5:$A$265,A110)</f>
        <v/>
      </c>
      <c r="K110" s="20">
        <f>IF(J110=0,0,'تنظیمات'!$B$7*INT(F110*I110/(J110*'تنظیمات'!$B$7)))</f>
        <v/>
      </c>
      <c r="L110" s="10">
        <f>IF(J110=0,0,F110*I110-J110*'تنظیمات'!$B$7*INT(F110*I110/(J110*'تنظیمات'!$B$7)))</f>
        <v/>
      </c>
      <c r="M110" s="10">
        <f>1+COUNTIFS($A$5:$A$265,A110,$L$5:$L$265,"&gt;"&amp;L110)+COUNTIFS($A$5:$A$265,A110,$L$5:$L$265,L110,$D$5:$D$265,"&lt;"&amp;D110)</f>
        <v/>
      </c>
      <c r="N110" s="20">
        <f>IF(J110=0,0,F110-SUMIFS($K$5:$K$265,$A$5:$A$265,A110))</f>
        <v/>
      </c>
      <c r="O110" s="10">
        <f>INT(N110/'تنظیمات'!$B$7)</f>
        <v/>
      </c>
      <c r="P110" s="10">
        <f>N110-O110*'تنظیمات'!$B$7</f>
        <v/>
      </c>
      <c r="Q110" s="20">
        <f>IF(J110=0,0,K110+IF(M110&lt;=O110,'تنظیمات'!$B$7,0)+IF(M110=1,P110,0))</f>
        <v/>
      </c>
      <c r="R110" s="22">
        <f>'سطرهای تسهیم'!F16</f>
        <v/>
      </c>
      <c r="S110" s="22">
        <f>'سطرهای تسهیم'!G16</f>
        <v/>
      </c>
      <c r="T110" s="4">
        <f>IFERROR(INDEX('دسته‌ها'!$D$5:$D$25,MATCH(S110,'دسته‌ها'!$A$5:$A$25,0)),"خیر")</f>
        <v/>
      </c>
    </row>
    <row r="111">
      <c r="A111" s="22">
        <f>'سطرهای تسهیم'!A16</f>
        <v/>
      </c>
      <c r="B111" s="22">
        <f>'سطرهای تسهیم'!B16</f>
        <v/>
      </c>
      <c r="C111" s="22">
        <f>'واحدها'!A12</f>
        <v/>
      </c>
      <c r="D111" s="12">
        <f>'واحدها'!H12</f>
        <v/>
      </c>
      <c r="E111" s="22">
        <f>'سطرهای تسهیم'!D16</f>
        <v/>
      </c>
      <c r="F111" s="19">
        <f>'سطرهای تسهیم'!E16</f>
        <v/>
      </c>
      <c r="G111" s="12">
        <f>IF('واحدها'!F12="بله",'شمول'!I10,0)</f>
        <v/>
      </c>
      <c r="H111" s="10">
        <f>CHOOSE(MATCH(E111,'فهرست‌ها'!$A$4:$A$13,0),1,'واحدها'!E12,'واحدها'!D12*100,'واحدها'!J12,'واحدها'!J12,'وزن‌ها'!I10,'وزن‌ها'!I10,'واحدها'!K12,'واحدها'!L12,0)</f>
        <v/>
      </c>
      <c r="I111" s="10">
        <f>G111*H111</f>
        <v/>
      </c>
      <c r="J111" s="10">
        <f>SUMIFS($I$5:$I$265,$A$5:$A$265,A111)</f>
        <v/>
      </c>
      <c r="K111" s="20">
        <f>IF(J111=0,0,'تنظیمات'!$B$7*INT(F111*I111/(J111*'تنظیمات'!$B$7)))</f>
        <v/>
      </c>
      <c r="L111" s="10">
        <f>IF(J111=0,0,F111*I111-J111*'تنظیمات'!$B$7*INT(F111*I111/(J111*'تنظیمات'!$B$7)))</f>
        <v/>
      </c>
      <c r="M111" s="10">
        <f>1+COUNTIFS($A$5:$A$265,A111,$L$5:$L$265,"&gt;"&amp;L111)+COUNTIFS($A$5:$A$265,A111,$L$5:$L$265,L111,$D$5:$D$265,"&lt;"&amp;D111)</f>
        <v/>
      </c>
      <c r="N111" s="20">
        <f>IF(J111=0,0,F111-SUMIFS($K$5:$K$265,$A$5:$A$265,A111))</f>
        <v/>
      </c>
      <c r="O111" s="10">
        <f>INT(N111/'تنظیمات'!$B$7)</f>
        <v/>
      </c>
      <c r="P111" s="10">
        <f>N111-O111*'تنظیمات'!$B$7</f>
        <v/>
      </c>
      <c r="Q111" s="20">
        <f>IF(J111=0,0,K111+IF(M111&lt;=O111,'تنظیمات'!$B$7,0)+IF(M111=1,P111,0))</f>
        <v/>
      </c>
      <c r="R111" s="22">
        <f>'سطرهای تسهیم'!F16</f>
        <v/>
      </c>
      <c r="S111" s="22">
        <f>'سطرهای تسهیم'!G16</f>
        <v/>
      </c>
      <c r="T111" s="4">
        <f>IFERROR(INDEX('دسته‌ها'!$D$5:$D$25,MATCH(S111,'دسته‌ها'!$A$5:$A$25,0)),"خیر")</f>
        <v/>
      </c>
    </row>
    <row r="112">
      <c r="A112" s="22">
        <f>'سطرهای تسهیم'!A16</f>
        <v/>
      </c>
      <c r="B112" s="22">
        <f>'سطرهای تسهیم'!B16</f>
        <v/>
      </c>
      <c r="C112" s="22">
        <f>'واحدها'!A13</f>
        <v/>
      </c>
      <c r="D112" s="12">
        <f>'واحدها'!H13</f>
        <v/>
      </c>
      <c r="E112" s="22">
        <f>'سطرهای تسهیم'!D16</f>
        <v/>
      </c>
      <c r="F112" s="19">
        <f>'سطرهای تسهیم'!E16</f>
        <v/>
      </c>
      <c r="G112" s="12">
        <f>IF('واحدها'!F13="بله",'شمول'!J10,0)</f>
        <v/>
      </c>
      <c r="H112" s="10">
        <f>CHOOSE(MATCH(E112,'فهرست‌ها'!$A$4:$A$13,0),1,'واحدها'!E13,'واحدها'!D13*100,'واحدها'!J13,'واحدها'!J13,'وزن‌ها'!J10,'وزن‌ها'!J10,'واحدها'!K13,'واحدها'!L13,0)</f>
        <v/>
      </c>
      <c r="I112" s="10">
        <f>G112*H112</f>
        <v/>
      </c>
      <c r="J112" s="10">
        <f>SUMIFS($I$5:$I$265,$A$5:$A$265,A112)</f>
        <v/>
      </c>
      <c r="K112" s="20">
        <f>IF(J112=0,0,'تنظیمات'!$B$7*INT(F112*I112/(J112*'تنظیمات'!$B$7)))</f>
        <v/>
      </c>
      <c r="L112" s="10">
        <f>IF(J112=0,0,F112*I112-J112*'تنظیمات'!$B$7*INT(F112*I112/(J112*'تنظیمات'!$B$7)))</f>
        <v/>
      </c>
      <c r="M112" s="10">
        <f>1+COUNTIFS($A$5:$A$265,A112,$L$5:$L$265,"&gt;"&amp;L112)+COUNTIFS($A$5:$A$265,A112,$L$5:$L$265,L112,$D$5:$D$265,"&lt;"&amp;D112)</f>
        <v/>
      </c>
      <c r="N112" s="20">
        <f>IF(J112=0,0,F112-SUMIFS($K$5:$K$265,$A$5:$A$265,A112))</f>
        <v/>
      </c>
      <c r="O112" s="10">
        <f>INT(N112/'تنظیمات'!$B$7)</f>
        <v/>
      </c>
      <c r="P112" s="10">
        <f>N112-O112*'تنظیمات'!$B$7</f>
        <v/>
      </c>
      <c r="Q112" s="20">
        <f>IF(J112=0,0,K112+IF(M112&lt;=O112,'تنظیمات'!$B$7,0)+IF(M112=1,P112,0))</f>
        <v/>
      </c>
      <c r="R112" s="22">
        <f>'سطرهای تسهیم'!F16</f>
        <v/>
      </c>
      <c r="S112" s="22">
        <f>'سطرهای تسهیم'!G16</f>
        <v/>
      </c>
      <c r="T112" s="4">
        <f>IFERROR(INDEX('دسته‌ها'!$D$5:$D$25,MATCH(S112,'دسته‌ها'!$A$5:$A$25,0)),"خیر")</f>
        <v/>
      </c>
    </row>
    <row r="113">
      <c r="A113" s="22">
        <f>'سطرهای تسهیم'!A17</f>
        <v/>
      </c>
      <c r="B113" s="22">
        <f>'سطرهای تسهیم'!B17</f>
        <v/>
      </c>
      <c r="C113" s="22">
        <f>'واحدها'!A5</f>
        <v/>
      </c>
      <c r="D113" s="12">
        <f>'واحدها'!H5</f>
        <v/>
      </c>
      <c r="E113" s="22">
        <f>'سطرهای تسهیم'!D17</f>
        <v/>
      </c>
      <c r="F113" s="19">
        <f>'سطرهای تسهیم'!E17</f>
        <v/>
      </c>
      <c r="G113" s="12">
        <f>IF('واحدها'!F5="بله",'شمول'!B11,0)</f>
        <v/>
      </c>
      <c r="H113" s="10">
        <f>CHOOSE(MATCH(E113,'فهرست‌ها'!$A$4:$A$13,0),1,'واحدها'!E5,'واحدها'!D5*100,'واحدها'!J5,'واحدها'!J5,'وزن‌ها'!B11,'وزن‌ها'!B11,'واحدها'!K5,'واحدها'!L5,0)</f>
        <v/>
      </c>
      <c r="I113" s="10">
        <f>G113*H113</f>
        <v/>
      </c>
      <c r="J113" s="10">
        <f>SUMIFS($I$5:$I$265,$A$5:$A$265,A113)</f>
        <v/>
      </c>
      <c r="K113" s="20">
        <f>IF(J113=0,0,'تنظیمات'!$B$7*INT(F113*I113/(J113*'تنظیمات'!$B$7)))</f>
        <v/>
      </c>
      <c r="L113" s="10">
        <f>IF(J113=0,0,F113*I113-J113*'تنظیمات'!$B$7*INT(F113*I113/(J113*'تنظیمات'!$B$7)))</f>
        <v/>
      </c>
      <c r="M113" s="10">
        <f>1+COUNTIFS($A$5:$A$265,A113,$L$5:$L$265,"&gt;"&amp;L113)+COUNTIFS($A$5:$A$265,A113,$L$5:$L$265,L113,$D$5:$D$265,"&lt;"&amp;D113)</f>
        <v/>
      </c>
      <c r="N113" s="20">
        <f>IF(J113=0,0,F113-SUMIFS($K$5:$K$265,$A$5:$A$265,A113))</f>
        <v/>
      </c>
      <c r="O113" s="10">
        <f>INT(N113/'تنظیمات'!$B$7)</f>
        <v/>
      </c>
      <c r="P113" s="10">
        <f>N113-O113*'تنظیمات'!$B$7</f>
        <v/>
      </c>
      <c r="Q113" s="20">
        <f>IF(J113=0,0,K113+IF(M113&lt;=O113,'تنظیمات'!$B$7,0)+IF(M113=1,P113,0))</f>
        <v/>
      </c>
      <c r="R113" s="22">
        <f>'سطرهای تسهیم'!F17</f>
        <v/>
      </c>
      <c r="S113" s="22">
        <f>'سطرهای تسهیم'!G17</f>
        <v/>
      </c>
      <c r="T113" s="4">
        <f>IFERROR(INDEX('دسته‌ها'!$D$5:$D$25,MATCH(S113,'دسته‌ها'!$A$5:$A$25,0)),"خیر")</f>
        <v/>
      </c>
    </row>
    <row r="114">
      <c r="A114" s="22">
        <f>'سطرهای تسهیم'!A17</f>
        <v/>
      </c>
      <c r="B114" s="22">
        <f>'سطرهای تسهیم'!B17</f>
        <v/>
      </c>
      <c r="C114" s="22">
        <f>'واحدها'!A6</f>
        <v/>
      </c>
      <c r="D114" s="12">
        <f>'واحدها'!H6</f>
        <v/>
      </c>
      <c r="E114" s="22">
        <f>'سطرهای تسهیم'!D17</f>
        <v/>
      </c>
      <c r="F114" s="19">
        <f>'سطرهای تسهیم'!E17</f>
        <v/>
      </c>
      <c r="G114" s="12">
        <f>IF('واحدها'!F6="بله",'شمول'!C11,0)</f>
        <v/>
      </c>
      <c r="H114" s="10">
        <f>CHOOSE(MATCH(E114,'فهرست‌ها'!$A$4:$A$13,0),1,'واحدها'!E6,'واحدها'!D6*100,'واحدها'!J6,'واحدها'!J6,'وزن‌ها'!C11,'وزن‌ها'!C11,'واحدها'!K6,'واحدها'!L6,0)</f>
        <v/>
      </c>
      <c r="I114" s="10">
        <f>G114*H114</f>
        <v/>
      </c>
      <c r="J114" s="10">
        <f>SUMIFS($I$5:$I$265,$A$5:$A$265,A114)</f>
        <v/>
      </c>
      <c r="K114" s="20">
        <f>IF(J114=0,0,'تنظیمات'!$B$7*INT(F114*I114/(J114*'تنظیمات'!$B$7)))</f>
        <v/>
      </c>
      <c r="L114" s="10">
        <f>IF(J114=0,0,F114*I114-J114*'تنظیمات'!$B$7*INT(F114*I114/(J114*'تنظیمات'!$B$7)))</f>
        <v/>
      </c>
      <c r="M114" s="10">
        <f>1+COUNTIFS($A$5:$A$265,A114,$L$5:$L$265,"&gt;"&amp;L114)+COUNTIFS($A$5:$A$265,A114,$L$5:$L$265,L114,$D$5:$D$265,"&lt;"&amp;D114)</f>
        <v/>
      </c>
      <c r="N114" s="20">
        <f>IF(J114=0,0,F114-SUMIFS($K$5:$K$265,$A$5:$A$265,A114))</f>
        <v/>
      </c>
      <c r="O114" s="10">
        <f>INT(N114/'تنظیمات'!$B$7)</f>
        <v/>
      </c>
      <c r="P114" s="10">
        <f>N114-O114*'تنظیمات'!$B$7</f>
        <v/>
      </c>
      <c r="Q114" s="20">
        <f>IF(J114=0,0,K114+IF(M114&lt;=O114,'تنظیمات'!$B$7,0)+IF(M114=1,P114,0))</f>
        <v/>
      </c>
      <c r="R114" s="22">
        <f>'سطرهای تسهیم'!F17</f>
        <v/>
      </c>
      <c r="S114" s="22">
        <f>'سطرهای تسهیم'!G17</f>
        <v/>
      </c>
      <c r="T114" s="4">
        <f>IFERROR(INDEX('دسته‌ها'!$D$5:$D$25,MATCH(S114,'دسته‌ها'!$A$5:$A$25,0)),"خیر")</f>
        <v/>
      </c>
    </row>
    <row r="115">
      <c r="A115" s="22">
        <f>'سطرهای تسهیم'!A17</f>
        <v/>
      </c>
      <c r="B115" s="22">
        <f>'سطرهای تسهیم'!B17</f>
        <v/>
      </c>
      <c r="C115" s="22">
        <f>'واحدها'!A7</f>
        <v/>
      </c>
      <c r="D115" s="12">
        <f>'واحدها'!H7</f>
        <v/>
      </c>
      <c r="E115" s="22">
        <f>'سطرهای تسهیم'!D17</f>
        <v/>
      </c>
      <c r="F115" s="19">
        <f>'سطرهای تسهیم'!E17</f>
        <v/>
      </c>
      <c r="G115" s="12">
        <f>IF('واحدها'!F7="بله",'شمول'!D11,0)</f>
        <v/>
      </c>
      <c r="H115" s="10">
        <f>CHOOSE(MATCH(E115,'فهرست‌ها'!$A$4:$A$13,0),1,'واحدها'!E7,'واحدها'!D7*100,'واحدها'!J7,'واحدها'!J7,'وزن‌ها'!D11,'وزن‌ها'!D11,'واحدها'!K7,'واحدها'!L7,0)</f>
        <v/>
      </c>
      <c r="I115" s="10">
        <f>G115*H115</f>
        <v/>
      </c>
      <c r="J115" s="10">
        <f>SUMIFS($I$5:$I$265,$A$5:$A$265,A115)</f>
        <v/>
      </c>
      <c r="K115" s="20">
        <f>IF(J115=0,0,'تنظیمات'!$B$7*INT(F115*I115/(J115*'تنظیمات'!$B$7)))</f>
        <v/>
      </c>
      <c r="L115" s="10">
        <f>IF(J115=0,0,F115*I115-J115*'تنظیمات'!$B$7*INT(F115*I115/(J115*'تنظیمات'!$B$7)))</f>
        <v/>
      </c>
      <c r="M115" s="10">
        <f>1+COUNTIFS($A$5:$A$265,A115,$L$5:$L$265,"&gt;"&amp;L115)+COUNTIFS($A$5:$A$265,A115,$L$5:$L$265,L115,$D$5:$D$265,"&lt;"&amp;D115)</f>
        <v/>
      </c>
      <c r="N115" s="20">
        <f>IF(J115=0,0,F115-SUMIFS($K$5:$K$265,$A$5:$A$265,A115))</f>
        <v/>
      </c>
      <c r="O115" s="10">
        <f>INT(N115/'تنظیمات'!$B$7)</f>
        <v/>
      </c>
      <c r="P115" s="10">
        <f>N115-O115*'تنظیمات'!$B$7</f>
        <v/>
      </c>
      <c r="Q115" s="20">
        <f>IF(J115=0,0,K115+IF(M115&lt;=O115,'تنظیمات'!$B$7,0)+IF(M115=1,P115,0))</f>
        <v/>
      </c>
      <c r="R115" s="22">
        <f>'سطرهای تسهیم'!F17</f>
        <v/>
      </c>
      <c r="S115" s="22">
        <f>'سطرهای تسهیم'!G17</f>
        <v/>
      </c>
      <c r="T115" s="4">
        <f>IFERROR(INDEX('دسته‌ها'!$D$5:$D$25,MATCH(S115,'دسته‌ها'!$A$5:$A$25,0)),"خیر")</f>
        <v/>
      </c>
    </row>
    <row r="116">
      <c r="A116" s="22">
        <f>'سطرهای تسهیم'!A17</f>
        <v/>
      </c>
      <c r="B116" s="22">
        <f>'سطرهای تسهیم'!B17</f>
        <v/>
      </c>
      <c r="C116" s="22">
        <f>'واحدها'!A8</f>
        <v/>
      </c>
      <c r="D116" s="12">
        <f>'واحدها'!H8</f>
        <v/>
      </c>
      <c r="E116" s="22">
        <f>'سطرهای تسهیم'!D17</f>
        <v/>
      </c>
      <c r="F116" s="19">
        <f>'سطرهای تسهیم'!E17</f>
        <v/>
      </c>
      <c r="G116" s="12">
        <f>IF('واحدها'!F8="بله",'شمول'!E11,0)</f>
        <v/>
      </c>
      <c r="H116" s="10">
        <f>CHOOSE(MATCH(E116,'فهرست‌ها'!$A$4:$A$13,0),1,'واحدها'!E8,'واحدها'!D8*100,'واحدها'!J8,'واحدها'!J8,'وزن‌ها'!E11,'وزن‌ها'!E11,'واحدها'!K8,'واحدها'!L8,0)</f>
        <v/>
      </c>
      <c r="I116" s="10">
        <f>G116*H116</f>
        <v/>
      </c>
      <c r="J116" s="10">
        <f>SUMIFS($I$5:$I$265,$A$5:$A$265,A116)</f>
        <v/>
      </c>
      <c r="K116" s="20">
        <f>IF(J116=0,0,'تنظیمات'!$B$7*INT(F116*I116/(J116*'تنظیمات'!$B$7)))</f>
        <v/>
      </c>
      <c r="L116" s="10">
        <f>IF(J116=0,0,F116*I116-J116*'تنظیمات'!$B$7*INT(F116*I116/(J116*'تنظیمات'!$B$7)))</f>
        <v/>
      </c>
      <c r="M116" s="10">
        <f>1+COUNTIFS($A$5:$A$265,A116,$L$5:$L$265,"&gt;"&amp;L116)+COUNTIFS($A$5:$A$265,A116,$L$5:$L$265,L116,$D$5:$D$265,"&lt;"&amp;D116)</f>
        <v/>
      </c>
      <c r="N116" s="20">
        <f>IF(J116=0,0,F116-SUMIFS($K$5:$K$265,$A$5:$A$265,A116))</f>
        <v/>
      </c>
      <c r="O116" s="10">
        <f>INT(N116/'تنظیمات'!$B$7)</f>
        <v/>
      </c>
      <c r="P116" s="10">
        <f>N116-O116*'تنظیمات'!$B$7</f>
        <v/>
      </c>
      <c r="Q116" s="20">
        <f>IF(J116=0,0,K116+IF(M116&lt;=O116,'تنظیمات'!$B$7,0)+IF(M116=1,P116,0))</f>
        <v/>
      </c>
      <c r="R116" s="22">
        <f>'سطرهای تسهیم'!F17</f>
        <v/>
      </c>
      <c r="S116" s="22">
        <f>'سطرهای تسهیم'!G17</f>
        <v/>
      </c>
      <c r="T116" s="4">
        <f>IFERROR(INDEX('دسته‌ها'!$D$5:$D$25,MATCH(S116,'دسته‌ها'!$A$5:$A$25,0)),"خیر")</f>
        <v/>
      </c>
    </row>
    <row r="117">
      <c r="A117" s="22">
        <f>'سطرهای تسهیم'!A17</f>
        <v/>
      </c>
      <c r="B117" s="22">
        <f>'سطرهای تسهیم'!B17</f>
        <v/>
      </c>
      <c r="C117" s="22">
        <f>'واحدها'!A9</f>
        <v/>
      </c>
      <c r="D117" s="12">
        <f>'واحدها'!H9</f>
        <v/>
      </c>
      <c r="E117" s="22">
        <f>'سطرهای تسهیم'!D17</f>
        <v/>
      </c>
      <c r="F117" s="19">
        <f>'سطرهای تسهیم'!E17</f>
        <v/>
      </c>
      <c r="G117" s="12">
        <f>IF('واحدها'!F9="بله",'شمول'!F11,0)</f>
        <v/>
      </c>
      <c r="H117" s="10">
        <f>CHOOSE(MATCH(E117,'فهرست‌ها'!$A$4:$A$13,0),1,'واحدها'!E9,'واحدها'!D9*100,'واحدها'!J9,'واحدها'!J9,'وزن‌ها'!F11,'وزن‌ها'!F11,'واحدها'!K9,'واحدها'!L9,0)</f>
        <v/>
      </c>
      <c r="I117" s="10">
        <f>G117*H117</f>
        <v/>
      </c>
      <c r="J117" s="10">
        <f>SUMIFS($I$5:$I$265,$A$5:$A$265,A117)</f>
        <v/>
      </c>
      <c r="K117" s="20">
        <f>IF(J117=0,0,'تنظیمات'!$B$7*INT(F117*I117/(J117*'تنظیمات'!$B$7)))</f>
        <v/>
      </c>
      <c r="L117" s="10">
        <f>IF(J117=0,0,F117*I117-J117*'تنظیمات'!$B$7*INT(F117*I117/(J117*'تنظیمات'!$B$7)))</f>
        <v/>
      </c>
      <c r="M117" s="10">
        <f>1+COUNTIFS($A$5:$A$265,A117,$L$5:$L$265,"&gt;"&amp;L117)+COUNTIFS($A$5:$A$265,A117,$L$5:$L$265,L117,$D$5:$D$265,"&lt;"&amp;D117)</f>
        <v/>
      </c>
      <c r="N117" s="20">
        <f>IF(J117=0,0,F117-SUMIFS($K$5:$K$265,$A$5:$A$265,A117))</f>
        <v/>
      </c>
      <c r="O117" s="10">
        <f>INT(N117/'تنظیمات'!$B$7)</f>
        <v/>
      </c>
      <c r="P117" s="10">
        <f>N117-O117*'تنظیمات'!$B$7</f>
        <v/>
      </c>
      <c r="Q117" s="20">
        <f>IF(J117=0,0,K117+IF(M117&lt;=O117,'تنظیمات'!$B$7,0)+IF(M117=1,P117,0))</f>
        <v/>
      </c>
      <c r="R117" s="22">
        <f>'سطرهای تسهیم'!F17</f>
        <v/>
      </c>
      <c r="S117" s="22">
        <f>'سطرهای تسهیم'!G17</f>
        <v/>
      </c>
      <c r="T117" s="4">
        <f>IFERROR(INDEX('دسته‌ها'!$D$5:$D$25,MATCH(S117,'دسته‌ها'!$A$5:$A$25,0)),"خیر")</f>
        <v/>
      </c>
    </row>
    <row r="118">
      <c r="A118" s="22">
        <f>'سطرهای تسهیم'!A17</f>
        <v/>
      </c>
      <c r="B118" s="22">
        <f>'سطرهای تسهیم'!B17</f>
        <v/>
      </c>
      <c r="C118" s="22">
        <f>'واحدها'!A10</f>
        <v/>
      </c>
      <c r="D118" s="12">
        <f>'واحدها'!H10</f>
        <v/>
      </c>
      <c r="E118" s="22">
        <f>'سطرهای تسهیم'!D17</f>
        <v/>
      </c>
      <c r="F118" s="19">
        <f>'سطرهای تسهیم'!E17</f>
        <v/>
      </c>
      <c r="G118" s="12">
        <f>IF('واحدها'!F10="بله",'شمول'!G11,0)</f>
        <v/>
      </c>
      <c r="H118" s="10">
        <f>CHOOSE(MATCH(E118,'فهرست‌ها'!$A$4:$A$13,0),1,'واحدها'!E10,'واحدها'!D10*100,'واحدها'!J10,'واحدها'!J10,'وزن‌ها'!G11,'وزن‌ها'!G11,'واحدها'!K10,'واحدها'!L10,0)</f>
        <v/>
      </c>
      <c r="I118" s="10">
        <f>G118*H118</f>
        <v/>
      </c>
      <c r="J118" s="10">
        <f>SUMIFS($I$5:$I$265,$A$5:$A$265,A118)</f>
        <v/>
      </c>
      <c r="K118" s="20">
        <f>IF(J118=0,0,'تنظیمات'!$B$7*INT(F118*I118/(J118*'تنظیمات'!$B$7)))</f>
        <v/>
      </c>
      <c r="L118" s="10">
        <f>IF(J118=0,0,F118*I118-J118*'تنظیمات'!$B$7*INT(F118*I118/(J118*'تنظیمات'!$B$7)))</f>
        <v/>
      </c>
      <c r="M118" s="10">
        <f>1+COUNTIFS($A$5:$A$265,A118,$L$5:$L$265,"&gt;"&amp;L118)+COUNTIFS($A$5:$A$265,A118,$L$5:$L$265,L118,$D$5:$D$265,"&lt;"&amp;D118)</f>
        <v/>
      </c>
      <c r="N118" s="20">
        <f>IF(J118=0,0,F118-SUMIFS($K$5:$K$265,$A$5:$A$265,A118))</f>
        <v/>
      </c>
      <c r="O118" s="10">
        <f>INT(N118/'تنظیمات'!$B$7)</f>
        <v/>
      </c>
      <c r="P118" s="10">
        <f>N118-O118*'تنظیمات'!$B$7</f>
        <v/>
      </c>
      <c r="Q118" s="20">
        <f>IF(J118=0,0,K118+IF(M118&lt;=O118,'تنظیمات'!$B$7,0)+IF(M118=1,P118,0))</f>
        <v/>
      </c>
      <c r="R118" s="22">
        <f>'سطرهای تسهیم'!F17</f>
        <v/>
      </c>
      <c r="S118" s="22">
        <f>'سطرهای تسهیم'!G17</f>
        <v/>
      </c>
      <c r="T118" s="4">
        <f>IFERROR(INDEX('دسته‌ها'!$D$5:$D$25,MATCH(S118,'دسته‌ها'!$A$5:$A$25,0)),"خیر")</f>
        <v/>
      </c>
    </row>
    <row r="119">
      <c r="A119" s="22">
        <f>'سطرهای تسهیم'!A17</f>
        <v/>
      </c>
      <c r="B119" s="22">
        <f>'سطرهای تسهیم'!B17</f>
        <v/>
      </c>
      <c r="C119" s="22">
        <f>'واحدها'!A11</f>
        <v/>
      </c>
      <c r="D119" s="12">
        <f>'واحدها'!H11</f>
        <v/>
      </c>
      <c r="E119" s="22">
        <f>'سطرهای تسهیم'!D17</f>
        <v/>
      </c>
      <c r="F119" s="19">
        <f>'سطرهای تسهیم'!E17</f>
        <v/>
      </c>
      <c r="G119" s="12">
        <f>IF('واحدها'!F11="بله",'شمول'!H11,0)</f>
        <v/>
      </c>
      <c r="H119" s="10">
        <f>CHOOSE(MATCH(E119,'فهرست‌ها'!$A$4:$A$13,0),1,'واحدها'!E11,'واحدها'!D11*100,'واحدها'!J11,'واحدها'!J11,'وزن‌ها'!H11,'وزن‌ها'!H11,'واحدها'!K11,'واحدها'!L11,0)</f>
        <v/>
      </c>
      <c r="I119" s="10">
        <f>G119*H119</f>
        <v/>
      </c>
      <c r="J119" s="10">
        <f>SUMIFS($I$5:$I$265,$A$5:$A$265,A119)</f>
        <v/>
      </c>
      <c r="K119" s="20">
        <f>IF(J119=0,0,'تنظیمات'!$B$7*INT(F119*I119/(J119*'تنظیمات'!$B$7)))</f>
        <v/>
      </c>
      <c r="L119" s="10">
        <f>IF(J119=0,0,F119*I119-J119*'تنظیمات'!$B$7*INT(F119*I119/(J119*'تنظیمات'!$B$7)))</f>
        <v/>
      </c>
      <c r="M119" s="10">
        <f>1+COUNTIFS($A$5:$A$265,A119,$L$5:$L$265,"&gt;"&amp;L119)+COUNTIFS($A$5:$A$265,A119,$L$5:$L$265,L119,$D$5:$D$265,"&lt;"&amp;D119)</f>
        <v/>
      </c>
      <c r="N119" s="20">
        <f>IF(J119=0,0,F119-SUMIFS($K$5:$K$265,$A$5:$A$265,A119))</f>
        <v/>
      </c>
      <c r="O119" s="10">
        <f>INT(N119/'تنظیمات'!$B$7)</f>
        <v/>
      </c>
      <c r="P119" s="10">
        <f>N119-O119*'تنظیمات'!$B$7</f>
        <v/>
      </c>
      <c r="Q119" s="20">
        <f>IF(J119=0,0,K119+IF(M119&lt;=O119,'تنظیمات'!$B$7,0)+IF(M119=1,P119,0))</f>
        <v/>
      </c>
      <c r="R119" s="22">
        <f>'سطرهای تسهیم'!F17</f>
        <v/>
      </c>
      <c r="S119" s="22">
        <f>'سطرهای تسهیم'!G17</f>
        <v/>
      </c>
      <c r="T119" s="4">
        <f>IFERROR(INDEX('دسته‌ها'!$D$5:$D$25,MATCH(S119,'دسته‌ها'!$A$5:$A$25,0)),"خیر")</f>
        <v/>
      </c>
    </row>
    <row r="120">
      <c r="A120" s="22">
        <f>'سطرهای تسهیم'!A17</f>
        <v/>
      </c>
      <c r="B120" s="22">
        <f>'سطرهای تسهیم'!B17</f>
        <v/>
      </c>
      <c r="C120" s="22">
        <f>'واحدها'!A12</f>
        <v/>
      </c>
      <c r="D120" s="12">
        <f>'واحدها'!H12</f>
        <v/>
      </c>
      <c r="E120" s="22">
        <f>'سطرهای تسهیم'!D17</f>
        <v/>
      </c>
      <c r="F120" s="19">
        <f>'سطرهای تسهیم'!E17</f>
        <v/>
      </c>
      <c r="G120" s="12">
        <f>IF('واحدها'!F12="بله",'شمول'!I11,0)</f>
        <v/>
      </c>
      <c r="H120" s="10">
        <f>CHOOSE(MATCH(E120,'فهرست‌ها'!$A$4:$A$13,0),1,'واحدها'!E12,'واحدها'!D12*100,'واحدها'!J12,'واحدها'!J12,'وزن‌ها'!I11,'وزن‌ها'!I11,'واحدها'!K12,'واحدها'!L12,0)</f>
        <v/>
      </c>
      <c r="I120" s="10">
        <f>G120*H120</f>
        <v/>
      </c>
      <c r="J120" s="10">
        <f>SUMIFS($I$5:$I$265,$A$5:$A$265,A120)</f>
        <v/>
      </c>
      <c r="K120" s="20">
        <f>IF(J120=0,0,'تنظیمات'!$B$7*INT(F120*I120/(J120*'تنظیمات'!$B$7)))</f>
        <v/>
      </c>
      <c r="L120" s="10">
        <f>IF(J120=0,0,F120*I120-J120*'تنظیمات'!$B$7*INT(F120*I120/(J120*'تنظیمات'!$B$7)))</f>
        <v/>
      </c>
      <c r="M120" s="10">
        <f>1+COUNTIFS($A$5:$A$265,A120,$L$5:$L$265,"&gt;"&amp;L120)+COUNTIFS($A$5:$A$265,A120,$L$5:$L$265,L120,$D$5:$D$265,"&lt;"&amp;D120)</f>
        <v/>
      </c>
      <c r="N120" s="20">
        <f>IF(J120=0,0,F120-SUMIFS($K$5:$K$265,$A$5:$A$265,A120))</f>
        <v/>
      </c>
      <c r="O120" s="10">
        <f>INT(N120/'تنظیمات'!$B$7)</f>
        <v/>
      </c>
      <c r="P120" s="10">
        <f>N120-O120*'تنظیمات'!$B$7</f>
        <v/>
      </c>
      <c r="Q120" s="20">
        <f>IF(J120=0,0,K120+IF(M120&lt;=O120,'تنظیمات'!$B$7,0)+IF(M120=1,P120,0))</f>
        <v/>
      </c>
      <c r="R120" s="22">
        <f>'سطرهای تسهیم'!F17</f>
        <v/>
      </c>
      <c r="S120" s="22">
        <f>'سطرهای تسهیم'!G17</f>
        <v/>
      </c>
      <c r="T120" s="4">
        <f>IFERROR(INDEX('دسته‌ها'!$D$5:$D$25,MATCH(S120,'دسته‌ها'!$A$5:$A$25,0)),"خیر")</f>
        <v/>
      </c>
    </row>
    <row r="121">
      <c r="A121" s="22">
        <f>'سطرهای تسهیم'!A17</f>
        <v/>
      </c>
      <c r="B121" s="22">
        <f>'سطرهای تسهیم'!B17</f>
        <v/>
      </c>
      <c r="C121" s="22">
        <f>'واحدها'!A13</f>
        <v/>
      </c>
      <c r="D121" s="12">
        <f>'واحدها'!H13</f>
        <v/>
      </c>
      <c r="E121" s="22">
        <f>'سطرهای تسهیم'!D17</f>
        <v/>
      </c>
      <c r="F121" s="19">
        <f>'سطرهای تسهیم'!E17</f>
        <v/>
      </c>
      <c r="G121" s="12">
        <f>IF('واحدها'!F13="بله",'شمول'!J11,0)</f>
        <v/>
      </c>
      <c r="H121" s="10">
        <f>CHOOSE(MATCH(E121,'فهرست‌ها'!$A$4:$A$13,0),1,'واحدها'!E13,'واحدها'!D13*100,'واحدها'!J13,'واحدها'!J13,'وزن‌ها'!J11,'وزن‌ها'!J11,'واحدها'!K13,'واحدها'!L13,0)</f>
        <v/>
      </c>
      <c r="I121" s="10">
        <f>G121*H121</f>
        <v/>
      </c>
      <c r="J121" s="10">
        <f>SUMIFS($I$5:$I$265,$A$5:$A$265,A121)</f>
        <v/>
      </c>
      <c r="K121" s="20">
        <f>IF(J121=0,0,'تنظیمات'!$B$7*INT(F121*I121/(J121*'تنظیمات'!$B$7)))</f>
        <v/>
      </c>
      <c r="L121" s="10">
        <f>IF(J121=0,0,F121*I121-J121*'تنظیمات'!$B$7*INT(F121*I121/(J121*'تنظیمات'!$B$7)))</f>
        <v/>
      </c>
      <c r="M121" s="10">
        <f>1+COUNTIFS($A$5:$A$265,A121,$L$5:$L$265,"&gt;"&amp;L121)+COUNTIFS($A$5:$A$265,A121,$L$5:$L$265,L121,$D$5:$D$265,"&lt;"&amp;D121)</f>
        <v/>
      </c>
      <c r="N121" s="20">
        <f>IF(J121=0,0,F121-SUMIFS($K$5:$K$265,$A$5:$A$265,A121))</f>
        <v/>
      </c>
      <c r="O121" s="10">
        <f>INT(N121/'تنظیمات'!$B$7)</f>
        <v/>
      </c>
      <c r="P121" s="10">
        <f>N121-O121*'تنظیمات'!$B$7</f>
        <v/>
      </c>
      <c r="Q121" s="20">
        <f>IF(J121=0,0,K121+IF(M121&lt;=O121,'تنظیمات'!$B$7,0)+IF(M121=1,P121,0))</f>
        <v/>
      </c>
      <c r="R121" s="22">
        <f>'سطرهای تسهیم'!F17</f>
        <v/>
      </c>
      <c r="S121" s="22">
        <f>'سطرهای تسهیم'!G17</f>
        <v/>
      </c>
      <c r="T121" s="4">
        <f>IFERROR(INDEX('دسته‌ها'!$D$5:$D$25,MATCH(S121,'دسته‌ها'!$A$5:$A$25,0)),"خیر")</f>
        <v/>
      </c>
    </row>
    <row r="122">
      <c r="A122" s="22">
        <f>'سطرهای تسهیم'!A18</f>
        <v/>
      </c>
      <c r="B122" s="22">
        <f>'سطرهای تسهیم'!B18</f>
        <v/>
      </c>
      <c r="C122" s="22">
        <f>'واحدها'!A5</f>
        <v/>
      </c>
      <c r="D122" s="12">
        <f>'واحدها'!H5</f>
        <v/>
      </c>
      <c r="E122" s="22">
        <f>'سطرهای تسهیم'!D18</f>
        <v/>
      </c>
      <c r="F122" s="19">
        <f>'سطرهای تسهیم'!E18</f>
        <v/>
      </c>
      <c r="G122" s="12">
        <f>IF('واحدها'!F5="بله",'شمول'!B11,0)</f>
        <v/>
      </c>
      <c r="H122" s="10">
        <f>CHOOSE(MATCH(E122,'فهرست‌ها'!$A$4:$A$13,0),1,'واحدها'!E5,'واحدها'!D5*100,'واحدها'!J5,'واحدها'!J5,'وزن‌ها'!B11,'وزن‌ها'!B11,'واحدها'!K5,'واحدها'!L5,0)</f>
        <v/>
      </c>
      <c r="I122" s="10">
        <f>G122*H122</f>
        <v/>
      </c>
      <c r="J122" s="10">
        <f>SUMIFS($I$5:$I$265,$A$5:$A$265,A122)</f>
        <v/>
      </c>
      <c r="K122" s="20">
        <f>IF(J122=0,0,'تنظیمات'!$B$7*INT(F122*I122/(J122*'تنظیمات'!$B$7)))</f>
        <v/>
      </c>
      <c r="L122" s="10">
        <f>IF(J122=0,0,F122*I122-J122*'تنظیمات'!$B$7*INT(F122*I122/(J122*'تنظیمات'!$B$7)))</f>
        <v/>
      </c>
      <c r="M122" s="10">
        <f>1+COUNTIFS($A$5:$A$265,A122,$L$5:$L$265,"&gt;"&amp;L122)+COUNTIFS($A$5:$A$265,A122,$L$5:$L$265,L122,$D$5:$D$265,"&lt;"&amp;D122)</f>
        <v/>
      </c>
      <c r="N122" s="20">
        <f>IF(J122=0,0,F122-SUMIFS($K$5:$K$265,$A$5:$A$265,A122))</f>
        <v/>
      </c>
      <c r="O122" s="10">
        <f>INT(N122/'تنظیمات'!$B$7)</f>
        <v/>
      </c>
      <c r="P122" s="10">
        <f>N122-O122*'تنظیمات'!$B$7</f>
        <v/>
      </c>
      <c r="Q122" s="20">
        <f>IF(J122=0,0,K122+IF(M122&lt;=O122,'تنظیمات'!$B$7,0)+IF(M122=1,P122,0))</f>
        <v/>
      </c>
      <c r="R122" s="22">
        <f>'سطرهای تسهیم'!F18</f>
        <v/>
      </c>
      <c r="S122" s="22">
        <f>'سطرهای تسهیم'!G18</f>
        <v/>
      </c>
      <c r="T122" s="4">
        <f>IFERROR(INDEX('دسته‌ها'!$D$5:$D$25,MATCH(S122,'دسته‌ها'!$A$5:$A$25,0)),"خیر")</f>
        <v/>
      </c>
    </row>
    <row r="123">
      <c r="A123" s="22">
        <f>'سطرهای تسهیم'!A18</f>
        <v/>
      </c>
      <c r="B123" s="22">
        <f>'سطرهای تسهیم'!B18</f>
        <v/>
      </c>
      <c r="C123" s="22">
        <f>'واحدها'!A6</f>
        <v/>
      </c>
      <c r="D123" s="12">
        <f>'واحدها'!H6</f>
        <v/>
      </c>
      <c r="E123" s="22">
        <f>'سطرهای تسهیم'!D18</f>
        <v/>
      </c>
      <c r="F123" s="19">
        <f>'سطرهای تسهیم'!E18</f>
        <v/>
      </c>
      <c r="G123" s="12">
        <f>IF('واحدها'!F6="بله",'شمول'!C11,0)</f>
        <v/>
      </c>
      <c r="H123" s="10">
        <f>CHOOSE(MATCH(E123,'فهرست‌ها'!$A$4:$A$13,0),1,'واحدها'!E6,'واحدها'!D6*100,'واحدها'!J6,'واحدها'!J6,'وزن‌ها'!C11,'وزن‌ها'!C11,'واحدها'!K6,'واحدها'!L6,0)</f>
        <v/>
      </c>
      <c r="I123" s="10">
        <f>G123*H123</f>
        <v/>
      </c>
      <c r="J123" s="10">
        <f>SUMIFS($I$5:$I$265,$A$5:$A$265,A123)</f>
        <v/>
      </c>
      <c r="K123" s="20">
        <f>IF(J123=0,0,'تنظیمات'!$B$7*INT(F123*I123/(J123*'تنظیمات'!$B$7)))</f>
        <v/>
      </c>
      <c r="L123" s="10">
        <f>IF(J123=0,0,F123*I123-J123*'تنظیمات'!$B$7*INT(F123*I123/(J123*'تنظیمات'!$B$7)))</f>
        <v/>
      </c>
      <c r="M123" s="10">
        <f>1+COUNTIFS($A$5:$A$265,A123,$L$5:$L$265,"&gt;"&amp;L123)+COUNTIFS($A$5:$A$265,A123,$L$5:$L$265,L123,$D$5:$D$265,"&lt;"&amp;D123)</f>
        <v/>
      </c>
      <c r="N123" s="20">
        <f>IF(J123=0,0,F123-SUMIFS($K$5:$K$265,$A$5:$A$265,A123))</f>
        <v/>
      </c>
      <c r="O123" s="10">
        <f>INT(N123/'تنظیمات'!$B$7)</f>
        <v/>
      </c>
      <c r="P123" s="10">
        <f>N123-O123*'تنظیمات'!$B$7</f>
        <v/>
      </c>
      <c r="Q123" s="20">
        <f>IF(J123=0,0,K123+IF(M123&lt;=O123,'تنظیمات'!$B$7,0)+IF(M123=1,P123,0))</f>
        <v/>
      </c>
      <c r="R123" s="22">
        <f>'سطرهای تسهیم'!F18</f>
        <v/>
      </c>
      <c r="S123" s="22">
        <f>'سطرهای تسهیم'!G18</f>
        <v/>
      </c>
      <c r="T123" s="4">
        <f>IFERROR(INDEX('دسته‌ها'!$D$5:$D$25,MATCH(S123,'دسته‌ها'!$A$5:$A$25,0)),"خیر")</f>
        <v/>
      </c>
    </row>
    <row r="124">
      <c r="A124" s="22">
        <f>'سطرهای تسهیم'!A18</f>
        <v/>
      </c>
      <c r="B124" s="22">
        <f>'سطرهای تسهیم'!B18</f>
        <v/>
      </c>
      <c r="C124" s="22">
        <f>'واحدها'!A7</f>
        <v/>
      </c>
      <c r="D124" s="12">
        <f>'واحدها'!H7</f>
        <v/>
      </c>
      <c r="E124" s="22">
        <f>'سطرهای تسهیم'!D18</f>
        <v/>
      </c>
      <c r="F124" s="19">
        <f>'سطرهای تسهیم'!E18</f>
        <v/>
      </c>
      <c r="G124" s="12">
        <f>IF('واحدها'!F7="بله",'شمول'!D11,0)</f>
        <v/>
      </c>
      <c r="H124" s="10">
        <f>CHOOSE(MATCH(E124,'فهرست‌ها'!$A$4:$A$13,0),1,'واحدها'!E7,'واحدها'!D7*100,'واحدها'!J7,'واحدها'!J7,'وزن‌ها'!D11,'وزن‌ها'!D11,'واحدها'!K7,'واحدها'!L7,0)</f>
        <v/>
      </c>
      <c r="I124" s="10">
        <f>G124*H124</f>
        <v/>
      </c>
      <c r="J124" s="10">
        <f>SUMIFS($I$5:$I$265,$A$5:$A$265,A124)</f>
        <v/>
      </c>
      <c r="K124" s="20">
        <f>IF(J124=0,0,'تنظیمات'!$B$7*INT(F124*I124/(J124*'تنظیمات'!$B$7)))</f>
        <v/>
      </c>
      <c r="L124" s="10">
        <f>IF(J124=0,0,F124*I124-J124*'تنظیمات'!$B$7*INT(F124*I124/(J124*'تنظیمات'!$B$7)))</f>
        <v/>
      </c>
      <c r="M124" s="10">
        <f>1+COUNTIFS($A$5:$A$265,A124,$L$5:$L$265,"&gt;"&amp;L124)+COUNTIFS($A$5:$A$265,A124,$L$5:$L$265,L124,$D$5:$D$265,"&lt;"&amp;D124)</f>
        <v/>
      </c>
      <c r="N124" s="20">
        <f>IF(J124=0,0,F124-SUMIFS($K$5:$K$265,$A$5:$A$265,A124))</f>
        <v/>
      </c>
      <c r="O124" s="10">
        <f>INT(N124/'تنظیمات'!$B$7)</f>
        <v/>
      </c>
      <c r="P124" s="10">
        <f>N124-O124*'تنظیمات'!$B$7</f>
        <v/>
      </c>
      <c r="Q124" s="20">
        <f>IF(J124=0,0,K124+IF(M124&lt;=O124,'تنظیمات'!$B$7,0)+IF(M124=1,P124,0))</f>
        <v/>
      </c>
      <c r="R124" s="22">
        <f>'سطرهای تسهیم'!F18</f>
        <v/>
      </c>
      <c r="S124" s="22">
        <f>'سطرهای تسهیم'!G18</f>
        <v/>
      </c>
      <c r="T124" s="4">
        <f>IFERROR(INDEX('دسته‌ها'!$D$5:$D$25,MATCH(S124,'دسته‌ها'!$A$5:$A$25,0)),"خیر")</f>
        <v/>
      </c>
    </row>
    <row r="125">
      <c r="A125" s="22">
        <f>'سطرهای تسهیم'!A18</f>
        <v/>
      </c>
      <c r="B125" s="22">
        <f>'سطرهای تسهیم'!B18</f>
        <v/>
      </c>
      <c r="C125" s="22">
        <f>'واحدها'!A8</f>
        <v/>
      </c>
      <c r="D125" s="12">
        <f>'واحدها'!H8</f>
        <v/>
      </c>
      <c r="E125" s="22">
        <f>'سطرهای تسهیم'!D18</f>
        <v/>
      </c>
      <c r="F125" s="19">
        <f>'سطرهای تسهیم'!E18</f>
        <v/>
      </c>
      <c r="G125" s="12">
        <f>IF('واحدها'!F8="بله",'شمول'!E11,0)</f>
        <v/>
      </c>
      <c r="H125" s="10">
        <f>CHOOSE(MATCH(E125,'فهرست‌ها'!$A$4:$A$13,0),1,'واحدها'!E8,'واحدها'!D8*100,'واحدها'!J8,'واحدها'!J8,'وزن‌ها'!E11,'وزن‌ها'!E11,'واحدها'!K8,'واحدها'!L8,0)</f>
        <v/>
      </c>
      <c r="I125" s="10">
        <f>G125*H125</f>
        <v/>
      </c>
      <c r="J125" s="10">
        <f>SUMIFS($I$5:$I$265,$A$5:$A$265,A125)</f>
        <v/>
      </c>
      <c r="K125" s="20">
        <f>IF(J125=0,0,'تنظیمات'!$B$7*INT(F125*I125/(J125*'تنظیمات'!$B$7)))</f>
        <v/>
      </c>
      <c r="L125" s="10">
        <f>IF(J125=0,0,F125*I125-J125*'تنظیمات'!$B$7*INT(F125*I125/(J125*'تنظیمات'!$B$7)))</f>
        <v/>
      </c>
      <c r="M125" s="10">
        <f>1+COUNTIFS($A$5:$A$265,A125,$L$5:$L$265,"&gt;"&amp;L125)+COUNTIFS($A$5:$A$265,A125,$L$5:$L$265,L125,$D$5:$D$265,"&lt;"&amp;D125)</f>
        <v/>
      </c>
      <c r="N125" s="20">
        <f>IF(J125=0,0,F125-SUMIFS($K$5:$K$265,$A$5:$A$265,A125))</f>
        <v/>
      </c>
      <c r="O125" s="10">
        <f>INT(N125/'تنظیمات'!$B$7)</f>
        <v/>
      </c>
      <c r="P125" s="10">
        <f>N125-O125*'تنظیمات'!$B$7</f>
        <v/>
      </c>
      <c r="Q125" s="20">
        <f>IF(J125=0,0,K125+IF(M125&lt;=O125,'تنظیمات'!$B$7,0)+IF(M125=1,P125,0))</f>
        <v/>
      </c>
      <c r="R125" s="22">
        <f>'سطرهای تسهیم'!F18</f>
        <v/>
      </c>
      <c r="S125" s="22">
        <f>'سطرهای تسهیم'!G18</f>
        <v/>
      </c>
      <c r="T125" s="4">
        <f>IFERROR(INDEX('دسته‌ها'!$D$5:$D$25,MATCH(S125,'دسته‌ها'!$A$5:$A$25,0)),"خیر")</f>
        <v/>
      </c>
    </row>
    <row r="126">
      <c r="A126" s="22">
        <f>'سطرهای تسهیم'!A18</f>
        <v/>
      </c>
      <c r="B126" s="22">
        <f>'سطرهای تسهیم'!B18</f>
        <v/>
      </c>
      <c r="C126" s="22">
        <f>'واحدها'!A9</f>
        <v/>
      </c>
      <c r="D126" s="12">
        <f>'واحدها'!H9</f>
        <v/>
      </c>
      <c r="E126" s="22">
        <f>'سطرهای تسهیم'!D18</f>
        <v/>
      </c>
      <c r="F126" s="19">
        <f>'سطرهای تسهیم'!E18</f>
        <v/>
      </c>
      <c r="G126" s="12">
        <f>IF('واحدها'!F9="بله",'شمول'!F11,0)</f>
        <v/>
      </c>
      <c r="H126" s="10">
        <f>CHOOSE(MATCH(E126,'فهرست‌ها'!$A$4:$A$13,0),1,'واحدها'!E9,'واحدها'!D9*100,'واحدها'!J9,'واحدها'!J9,'وزن‌ها'!F11,'وزن‌ها'!F11,'واحدها'!K9,'واحدها'!L9,0)</f>
        <v/>
      </c>
      <c r="I126" s="10">
        <f>G126*H126</f>
        <v/>
      </c>
      <c r="J126" s="10">
        <f>SUMIFS($I$5:$I$265,$A$5:$A$265,A126)</f>
        <v/>
      </c>
      <c r="K126" s="20">
        <f>IF(J126=0,0,'تنظیمات'!$B$7*INT(F126*I126/(J126*'تنظیمات'!$B$7)))</f>
        <v/>
      </c>
      <c r="L126" s="10">
        <f>IF(J126=0,0,F126*I126-J126*'تنظیمات'!$B$7*INT(F126*I126/(J126*'تنظیمات'!$B$7)))</f>
        <v/>
      </c>
      <c r="M126" s="10">
        <f>1+COUNTIFS($A$5:$A$265,A126,$L$5:$L$265,"&gt;"&amp;L126)+COUNTIFS($A$5:$A$265,A126,$L$5:$L$265,L126,$D$5:$D$265,"&lt;"&amp;D126)</f>
        <v/>
      </c>
      <c r="N126" s="20">
        <f>IF(J126=0,0,F126-SUMIFS($K$5:$K$265,$A$5:$A$265,A126))</f>
        <v/>
      </c>
      <c r="O126" s="10">
        <f>INT(N126/'تنظیمات'!$B$7)</f>
        <v/>
      </c>
      <c r="P126" s="10">
        <f>N126-O126*'تنظیمات'!$B$7</f>
        <v/>
      </c>
      <c r="Q126" s="20">
        <f>IF(J126=0,0,K126+IF(M126&lt;=O126,'تنظیمات'!$B$7,0)+IF(M126=1,P126,0))</f>
        <v/>
      </c>
      <c r="R126" s="22">
        <f>'سطرهای تسهیم'!F18</f>
        <v/>
      </c>
      <c r="S126" s="22">
        <f>'سطرهای تسهیم'!G18</f>
        <v/>
      </c>
      <c r="T126" s="4">
        <f>IFERROR(INDEX('دسته‌ها'!$D$5:$D$25,MATCH(S126,'دسته‌ها'!$A$5:$A$25,0)),"خیر")</f>
        <v/>
      </c>
    </row>
    <row r="127">
      <c r="A127" s="22">
        <f>'سطرهای تسهیم'!A18</f>
        <v/>
      </c>
      <c r="B127" s="22">
        <f>'سطرهای تسهیم'!B18</f>
        <v/>
      </c>
      <c r="C127" s="22">
        <f>'واحدها'!A10</f>
        <v/>
      </c>
      <c r="D127" s="12">
        <f>'واحدها'!H10</f>
        <v/>
      </c>
      <c r="E127" s="22">
        <f>'سطرهای تسهیم'!D18</f>
        <v/>
      </c>
      <c r="F127" s="19">
        <f>'سطرهای تسهیم'!E18</f>
        <v/>
      </c>
      <c r="G127" s="12">
        <f>IF('واحدها'!F10="بله",'شمول'!G11,0)</f>
        <v/>
      </c>
      <c r="H127" s="10">
        <f>CHOOSE(MATCH(E127,'فهرست‌ها'!$A$4:$A$13,0),1,'واحدها'!E10,'واحدها'!D10*100,'واحدها'!J10,'واحدها'!J10,'وزن‌ها'!G11,'وزن‌ها'!G11,'واحدها'!K10,'واحدها'!L10,0)</f>
        <v/>
      </c>
      <c r="I127" s="10">
        <f>G127*H127</f>
        <v/>
      </c>
      <c r="J127" s="10">
        <f>SUMIFS($I$5:$I$265,$A$5:$A$265,A127)</f>
        <v/>
      </c>
      <c r="K127" s="20">
        <f>IF(J127=0,0,'تنظیمات'!$B$7*INT(F127*I127/(J127*'تنظیمات'!$B$7)))</f>
        <v/>
      </c>
      <c r="L127" s="10">
        <f>IF(J127=0,0,F127*I127-J127*'تنظیمات'!$B$7*INT(F127*I127/(J127*'تنظیمات'!$B$7)))</f>
        <v/>
      </c>
      <c r="M127" s="10">
        <f>1+COUNTIFS($A$5:$A$265,A127,$L$5:$L$265,"&gt;"&amp;L127)+COUNTIFS($A$5:$A$265,A127,$L$5:$L$265,L127,$D$5:$D$265,"&lt;"&amp;D127)</f>
        <v/>
      </c>
      <c r="N127" s="20">
        <f>IF(J127=0,0,F127-SUMIFS($K$5:$K$265,$A$5:$A$265,A127))</f>
        <v/>
      </c>
      <c r="O127" s="10">
        <f>INT(N127/'تنظیمات'!$B$7)</f>
        <v/>
      </c>
      <c r="P127" s="10">
        <f>N127-O127*'تنظیمات'!$B$7</f>
        <v/>
      </c>
      <c r="Q127" s="20">
        <f>IF(J127=0,0,K127+IF(M127&lt;=O127,'تنظیمات'!$B$7,0)+IF(M127=1,P127,0))</f>
        <v/>
      </c>
      <c r="R127" s="22">
        <f>'سطرهای تسهیم'!F18</f>
        <v/>
      </c>
      <c r="S127" s="22">
        <f>'سطرهای تسهیم'!G18</f>
        <v/>
      </c>
      <c r="T127" s="4">
        <f>IFERROR(INDEX('دسته‌ها'!$D$5:$D$25,MATCH(S127,'دسته‌ها'!$A$5:$A$25,0)),"خیر")</f>
        <v/>
      </c>
    </row>
    <row r="128">
      <c r="A128" s="22">
        <f>'سطرهای تسهیم'!A18</f>
        <v/>
      </c>
      <c r="B128" s="22">
        <f>'سطرهای تسهیم'!B18</f>
        <v/>
      </c>
      <c r="C128" s="22">
        <f>'واحدها'!A11</f>
        <v/>
      </c>
      <c r="D128" s="12">
        <f>'واحدها'!H11</f>
        <v/>
      </c>
      <c r="E128" s="22">
        <f>'سطرهای تسهیم'!D18</f>
        <v/>
      </c>
      <c r="F128" s="19">
        <f>'سطرهای تسهیم'!E18</f>
        <v/>
      </c>
      <c r="G128" s="12">
        <f>IF('واحدها'!F11="بله",'شمول'!H11,0)</f>
        <v/>
      </c>
      <c r="H128" s="10">
        <f>CHOOSE(MATCH(E128,'فهرست‌ها'!$A$4:$A$13,0),1,'واحدها'!E11,'واحدها'!D11*100,'واحدها'!J11,'واحدها'!J11,'وزن‌ها'!H11,'وزن‌ها'!H11,'واحدها'!K11,'واحدها'!L11,0)</f>
        <v/>
      </c>
      <c r="I128" s="10">
        <f>G128*H128</f>
        <v/>
      </c>
      <c r="J128" s="10">
        <f>SUMIFS($I$5:$I$265,$A$5:$A$265,A128)</f>
        <v/>
      </c>
      <c r="K128" s="20">
        <f>IF(J128=0,0,'تنظیمات'!$B$7*INT(F128*I128/(J128*'تنظیمات'!$B$7)))</f>
        <v/>
      </c>
      <c r="L128" s="10">
        <f>IF(J128=0,0,F128*I128-J128*'تنظیمات'!$B$7*INT(F128*I128/(J128*'تنظیمات'!$B$7)))</f>
        <v/>
      </c>
      <c r="M128" s="10">
        <f>1+COUNTIFS($A$5:$A$265,A128,$L$5:$L$265,"&gt;"&amp;L128)+COUNTIFS($A$5:$A$265,A128,$L$5:$L$265,L128,$D$5:$D$265,"&lt;"&amp;D128)</f>
        <v/>
      </c>
      <c r="N128" s="20">
        <f>IF(J128=0,0,F128-SUMIFS($K$5:$K$265,$A$5:$A$265,A128))</f>
        <v/>
      </c>
      <c r="O128" s="10">
        <f>INT(N128/'تنظیمات'!$B$7)</f>
        <v/>
      </c>
      <c r="P128" s="10">
        <f>N128-O128*'تنظیمات'!$B$7</f>
        <v/>
      </c>
      <c r="Q128" s="20">
        <f>IF(J128=0,0,K128+IF(M128&lt;=O128,'تنظیمات'!$B$7,0)+IF(M128=1,P128,0))</f>
        <v/>
      </c>
      <c r="R128" s="22">
        <f>'سطرهای تسهیم'!F18</f>
        <v/>
      </c>
      <c r="S128" s="22">
        <f>'سطرهای تسهیم'!G18</f>
        <v/>
      </c>
      <c r="T128" s="4">
        <f>IFERROR(INDEX('دسته‌ها'!$D$5:$D$25,MATCH(S128,'دسته‌ها'!$A$5:$A$25,0)),"خیر")</f>
        <v/>
      </c>
    </row>
    <row r="129">
      <c r="A129" s="22">
        <f>'سطرهای تسهیم'!A18</f>
        <v/>
      </c>
      <c r="B129" s="22">
        <f>'سطرهای تسهیم'!B18</f>
        <v/>
      </c>
      <c r="C129" s="22">
        <f>'واحدها'!A12</f>
        <v/>
      </c>
      <c r="D129" s="12">
        <f>'واحدها'!H12</f>
        <v/>
      </c>
      <c r="E129" s="22">
        <f>'سطرهای تسهیم'!D18</f>
        <v/>
      </c>
      <c r="F129" s="19">
        <f>'سطرهای تسهیم'!E18</f>
        <v/>
      </c>
      <c r="G129" s="12">
        <f>IF('واحدها'!F12="بله",'شمول'!I11,0)</f>
        <v/>
      </c>
      <c r="H129" s="10">
        <f>CHOOSE(MATCH(E129,'فهرست‌ها'!$A$4:$A$13,0),1,'واحدها'!E12,'واحدها'!D12*100,'واحدها'!J12,'واحدها'!J12,'وزن‌ها'!I11,'وزن‌ها'!I11,'واحدها'!K12,'واحدها'!L12,0)</f>
        <v/>
      </c>
      <c r="I129" s="10">
        <f>G129*H129</f>
        <v/>
      </c>
      <c r="J129" s="10">
        <f>SUMIFS($I$5:$I$265,$A$5:$A$265,A129)</f>
        <v/>
      </c>
      <c r="K129" s="20">
        <f>IF(J129=0,0,'تنظیمات'!$B$7*INT(F129*I129/(J129*'تنظیمات'!$B$7)))</f>
        <v/>
      </c>
      <c r="L129" s="10">
        <f>IF(J129=0,0,F129*I129-J129*'تنظیمات'!$B$7*INT(F129*I129/(J129*'تنظیمات'!$B$7)))</f>
        <v/>
      </c>
      <c r="M129" s="10">
        <f>1+COUNTIFS($A$5:$A$265,A129,$L$5:$L$265,"&gt;"&amp;L129)+COUNTIFS($A$5:$A$265,A129,$L$5:$L$265,L129,$D$5:$D$265,"&lt;"&amp;D129)</f>
        <v/>
      </c>
      <c r="N129" s="20">
        <f>IF(J129=0,0,F129-SUMIFS($K$5:$K$265,$A$5:$A$265,A129))</f>
        <v/>
      </c>
      <c r="O129" s="10">
        <f>INT(N129/'تنظیمات'!$B$7)</f>
        <v/>
      </c>
      <c r="P129" s="10">
        <f>N129-O129*'تنظیمات'!$B$7</f>
        <v/>
      </c>
      <c r="Q129" s="20">
        <f>IF(J129=0,0,K129+IF(M129&lt;=O129,'تنظیمات'!$B$7,0)+IF(M129=1,P129,0))</f>
        <v/>
      </c>
      <c r="R129" s="22">
        <f>'سطرهای تسهیم'!F18</f>
        <v/>
      </c>
      <c r="S129" s="22">
        <f>'سطرهای تسهیم'!G18</f>
        <v/>
      </c>
      <c r="T129" s="4">
        <f>IFERROR(INDEX('دسته‌ها'!$D$5:$D$25,MATCH(S129,'دسته‌ها'!$A$5:$A$25,0)),"خیر")</f>
        <v/>
      </c>
    </row>
    <row r="130">
      <c r="A130" s="22">
        <f>'سطرهای تسهیم'!A18</f>
        <v/>
      </c>
      <c r="B130" s="22">
        <f>'سطرهای تسهیم'!B18</f>
        <v/>
      </c>
      <c r="C130" s="22">
        <f>'واحدها'!A13</f>
        <v/>
      </c>
      <c r="D130" s="12">
        <f>'واحدها'!H13</f>
        <v/>
      </c>
      <c r="E130" s="22">
        <f>'سطرهای تسهیم'!D18</f>
        <v/>
      </c>
      <c r="F130" s="19">
        <f>'سطرهای تسهیم'!E18</f>
        <v/>
      </c>
      <c r="G130" s="12">
        <f>IF('واحدها'!F13="بله",'شمول'!J11,0)</f>
        <v/>
      </c>
      <c r="H130" s="10">
        <f>CHOOSE(MATCH(E130,'فهرست‌ها'!$A$4:$A$13,0),1,'واحدها'!E13,'واحدها'!D13*100,'واحدها'!J13,'واحدها'!J13,'وزن‌ها'!J11,'وزن‌ها'!J11,'واحدها'!K13,'واحدها'!L13,0)</f>
        <v/>
      </c>
      <c r="I130" s="10">
        <f>G130*H130</f>
        <v/>
      </c>
      <c r="J130" s="10">
        <f>SUMIFS($I$5:$I$265,$A$5:$A$265,A130)</f>
        <v/>
      </c>
      <c r="K130" s="20">
        <f>IF(J130=0,0,'تنظیمات'!$B$7*INT(F130*I130/(J130*'تنظیمات'!$B$7)))</f>
        <v/>
      </c>
      <c r="L130" s="10">
        <f>IF(J130=0,0,F130*I130-J130*'تنظیمات'!$B$7*INT(F130*I130/(J130*'تنظیمات'!$B$7)))</f>
        <v/>
      </c>
      <c r="M130" s="10">
        <f>1+COUNTIFS($A$5:$A$265,A130,$L$5:$L$265,"&gt;"&amp;L130)+COUNTIFS($A$5:$A$265,A130,$L$5:$L$265,L130,$D$5:$D$265,"&lt;"&amp;D130)</f>
        <v/>
      </c>
      <c r="N130" s="20">
        <f>IF(J130=0,0,F130-SUMIFS($K$5:$K$265,$A$5:$A$265,A130))</f>
        <v/>
      </c>
      <c r="O130" s="10">
        <f>INT(N130/'تنظیمات'!$B$7)</f>
        <v/>
      </c>
      <c r="P130" s="10">
        <f>N130-O130*'تنظیمات'!$B$7</f>
        <v/>
      </c>
      <c r="Q130" s="20">
        <f>IF(J130=0,0,K130+IF(M130&lt;=O130,'تنظیمات'!$B$7,0)+IF(M130=1,P130,0))</f>
        <v/>
      </c>
      <c r="R130" s="22">
        <f>'سطرهای تسهیم'!F18</f>
        <v/>
      </c>
      <c r="S130" s="22">
        <f>'سطرهای تسهیم'!G18</f>
        <v/>
      </c>
      <c r="T130" s="4">
        <f>IFERROR(INDEX('دسته‌ها'!$D$5:$D$25,MATCH(S130,'دسته‌ها'!$A$5:$A$25,0)),"خیر")</f>
        <v/>
      </c>
    </row>
    <row r="131">
      <c r="A131" s="22">
        <f>'سطرهای تسهیم'!A19</f>
        <v/>
      </c>
      <c r="B131" s="22">
        <f>'سطرهای تسهیم'!B19</f>
        <v/>
      </c>
      <c r="C131" s="22">
        <f>'واحدها'!A5</f>
        <v/>
      </c>
      <c r="D131" s="12">
        <f>'واحدها'!H5</f>
        <v/>
      </c>
      <c r="E131" s="22">
        <f>'سطرهای تسهیم'!D19</f>
        <v/>
      </c>
      <c r="F131" s="19">
        <f>'سطرهای تسهیم'!E19</f>
        <v/>
      </c>
      <c r="G131" s="12">
        <f>IF('واحدها'!F5="بله",'شمول'!B12,0)</f>
        <v/>
      </c>
      <c r="H131" s="10">
        <f>CHOOSE(MATCH(E131,'فهرست‌ها'!$A$4:$A$13,0),1,'واحدها'!E5,'واحدها'!D5*100,'واحدها'!J5,'واحدها'!J5,'وزن‌ها'!B12,'وزن‌ها'!B12,'واحدها'!K5,'واحدها'!L5,0)</f>
        <v/>
      </c>
      <c r="I131" s="10">
        <f>G131*H131</f>
        <v/>
      </c>
      <c r="J131" s="10">
        <f>SUMIFS($I$5:$I$265,$A$5:$A$265,A131)</f>
        <v/>
      </c>
      <c r="K131" s="20">
        <f>IF(J131=0,0,'تنظیمات'!$B$7*INT(F131*I131/(J131*'تنظیمات'!$B$7)))</f>
        <v/>
      </c>
      <c r="L131" s="10">
        <f>IF(J131=0,0,F131*I131-J131*'تنظیمات'!$B$7*INT(F131*I131/(J131*'تنظیمات'!$B$7)))</f>
        <v/>
      </c>
      <c r="M131" s="10">
        <f>1+COUNTIFS($A$5:$A$265,A131,$L$5:$L$265,"&gt;"&amp;L131)+COUNTIFS($A$5:$A$265,A131,$L$5:$L$265,L131,$D$5:$D$265,"&lt;"&amp;D131)</f>
        <v/>
      </c>
      <c r="N131" s="20">
        <f>IF(J131=0,0,F131-SUMIFS($K$5:$K$265,$A$5:$A$265,A131))</f>
        <v/>
      </c>
      <c r="O131" s="10">
        <f>INT(N131/'تنظیمات'!$B$7)</f>
        <v/>
      </c>
      <c r="P131" s="10">
        <f>N131-O131*'تنظیمات'!$B$7</f>
        <v/>
      </c>
      <c r="Q131" s="20">
        <f>IF(J131=0,0,K131+IF(M131&lt;=O131,'تنظیمات'!$B$7,0)+IF(M131=1,P131,0))</f>
        <v/>
      </c>
      <c r="R131" s="22">
        <f>'سطرهای تسهیم'!F19</f>
        <v/>
      </c>
      <c r="S131" s="22">
        <f>'سطرهای تسهیم'!G19</f>
        <v/>
      </c>
      <c r="T131" s="4">
        <f>IFERROR(INDEX('دسته‌ها'!$D$5:$D$25,MATCH(S131,'دسته‌ها'!$A$5:$A$25,0)),"خیر")</f>
        <v/>
      </c>
    </row>
    <row r="132">
      <c r="A132" s="22">
        <f>'سطرهای تسهیم'!A19</f>
        <v/>
      </c>
      <c r="B132" s="22">
        <f>'سطرهای تسهیم'!B19</f>
        <v/>
      </c>
      <c r="C132" s="22">
        <f>'واحدها'!A6</f>
        <v/>
      </c>
      <c r="D132" s="12">
        <f>'واحدها'!H6</f>
        <v/>
      </c>
      <c r="E132" s="22">
        <f>'سطرهای تسهیم'!D19</f>
        <v/>
      </c>
      <c r="F132" s="19">
        <f>'سطرهای تسهیم'!E19</f>
        <v/>
      </c>
      <c r="G132" s="12">
        <f>IF('واحدها'!F6="بله",'شمول'!C12,0)</f>
        <v/>
      </c>
      <c r="H132" s="10">
        <f>CHOOSE(MATCH(E132,'فهرست‌ها'!$A$4:$A$13,0),1,'واحدها'!E6,'واحدها'!D6*100,'واحدها'!J6,'واحدها'!J6,'وزن‌ها'!C12,'وزن‌ها'!C12,'واحدها'!K6,'واحدها'!L6,0)</f>
        <v/>
      </c>
      <c r="I132" s="10">
        <f>G132*H132</f>
        <v/>
      </c>
      <c r="J132" s="10">
        <f>SUMIFS($I$5:$I$265,$A$5:$A$265,A132)</f>
        <v/>
      </c>
      <c r="K132" s="20">
        <f>IF(J132=0,0,'تنظیمات'!$B$7*INT(F132*I132/(J132*'تنظیمات'!$B$7)))</f>
        <v/>
      </c>
      <c r="L132" s="10">
        <f>IF(J132=0,0,F132*I132-J132*'تنظیمات'!$B$7*INT(F132*I132/(J132*'تنظیمات'!$B$7)))</f>
        <v/>
      </c>
      <c r="M132" s="10">
        <f>1+COUNTIFS($A$5:$A$265,A132,$L$5:$L$265,"&gt;"&amp;L132)+COUNTIFS($A$5:$A$265,A132,$L$5:$L$265,L132,$D$5:$D$265,"&lt;"&amp;D132)</f>
        <v/>
      </c>
      <c r="N132" s="20">
        <f>IF(J132=0,0,F132-SUMIFS($K$5:$K$265,$A$5:$A$265,A132))</f>
        <v/>
      </c>
      <c r="O132" s="10">
        <f>INT(N132/'تنظیمات'!$B$7)</f>
        <v/>
      </c>
      <c r="P132" s="10">
        <f>N132-O132*'تنظیمات'!$B$7</f>
        <v/>
      </c>
      <c r="Q132" s="20">
        <f>IF(J132=0,0,K132+IF(M132&lt;=O132,'تنظیمات'!$B$7,0)+IF(M132=1,P132,0))</f>
        <v/>
      </c>
      <c r="R132" s="22">
        <f>'سطرهای تسهیم'!F19</f>
        <v/>
      </c>
      <c r="S132" s="22">
        <f>'سطرهای تسهیم'!G19</f>
        <v/>
      </c>
      <c r="T132" s="4">
        <f>IFERROR(INDEX('دسته‌ها'!$D$5:$D$25,MATCH(S132,'دسته‌ها'!$A$5:$A$25,0)),"خیر")</f>
        <v/>
      </c>
    </row>
    <row r="133">
      <c r="A133" s="22">
        <f>'سطرهای تسهیم'!A19</f>
        <v/>
      </c>
      <c r="B133" s="22">
        <f>'سطرهای تسهیم'!B19</f>
        <v/>
      </c>
      <c r="C133" s="22">
        <f>'واحدها'!A7</f>
        <v/>
      </c>
      <c r="D133" s="12">
        <f>'واحدها'!H7</f>
        <v/>
      </c>
      <c r="E133" s="22">
        <f>'سطرهای تسهیم'!D19</f>
        <v/>
      </c>
      <c r="F133" s="19">
        <f>'سطرهای تسهیم'!E19</f>
        <v/>
      </c>
      <c r="G133" s="12">
        <f>IF('واحدها'!F7="بله",'شمول'!D12,0)</f>
        <v/>
      </c>
      <c r="H133" s="10">
        <f>CHOOSE(MATCH(E133,'فهرست‌ها'!$A$4:$A$13,0),1,'واحدها'!E7,'واحدها'!D7*100,'واحدها'!J7,'واحدها'!J7,'وزن‌ها'!D12,'وزن‌ها'!D12,'واحدها'!K7,'واحدها'!L7,0)</f>
        <v/>
      </c>
      <c r="I133" s="10">
        <f>G133*H133</f>
        <v/>
      </c>
      <c r="J133" s="10">
        <f>SUMIFS($I$5:$I$265,$A$5:$A$265,A133)</f>
        <v/>
      </c>
      <c r="K133" s="20">
        <f>IF(J133=0,0,'تنظیمات'!$B$7*INT(F133*I133/(J133*'تنظیمات'!$B$7)))</f>
        <v/>
      </c>
      <c r="L133" s="10">
        <f>IF(J133=0,0,F133*I133-J133*'تنظیمات'!$B$7*INT(F133*I133/(J133*'تنظیمات'!$B$7)))</f>
        <v/>
      </c>
      <c r="M133" s="10">
        <f>1+COUNTIFS($A$5:$A$265,A133,$L$5:$L$265,"&gt;"&amp;L133)+COUNTIFS($A$5:$A$265,A133,$L$5:$L$265,L133,$D$5:$D$265,"&lt;"&amp;D133)</f>
        <v/>
      </c>
      <c r="N133" s="20">
        <f>IF(J133=0,0,F133-SUMIFS($K$5:$K$265,$A$5:$A$265,A133))</f>
        <v/>
      </c>
      <c r="O133" s="10">
        <f>INT(N133/'تنظیمات'!$B$7)</f>
        <v/>
      </c>
      <c r="P133" s="10">
        <f>N133-O133*'تنظیمات'!$B$7</f>
        <v/>
      </c>
      <c r="Q133" s="20">
        <f>IF(J133=0,0,K133+IF(M133&lt;=O133,'تنظیمات'!$B$7,0)+IF(M133=1,P133,0))</f>
        <v/>
      </c>
      <c r="R133" s="22">
        <f>'سطرهای تسهیم'!F19</f>
        <v/>
      </c>
      <c r="S133" s="22">
        <f>'سطرهای تسهیم'!G19</f>
        <v/>
      </c>
      <c r="T133" s="4">
        <f>IFERROR(INDEX('دسته‌ها'!$D$5:$D$25,MATCH(S133,'دسته‌ها'!$A$5:$A$25,0)),"خیر")</f>
        <v/>
      </c>
    </row>
    <row r="134">
      <c r="A134" s="22">
        <f>'سطرهای تسهیم'!A19</f>
        <v/>
      </c>
      <c r="B134" s="22">
        <f>'سطرهای تسهیم'!B19</f>
        <v/>
      </c>
      <c r="C134" s="22">
        <f>'واحدها'!A8</f>
        <v/>
      </c>
      <c r="D134" s="12">
        <f>'واحدها'!H8</f>
        <v/>
      </c>
      <c r="E134" s="22">
        <f>'سطرهای تسهیم'!D19</f>
        <v/>
      </c>
      <c r="F134" s="19">
        <f>'سطرهای تسهیم'!E19</f>
        <v/>
      </c>
      <c r="G134" s="12">
        <f>IF('واحدها'!F8="بله",'شمول'!E12,0)</f>
        <v/>
      </c>
      <c r="H134" s="10">
        <f>CHOOSE(MATCH(E134,'فهرست‌ها'!$A$4:$A$13,0),1,'واحدها'!E8,'واحدها'!D8*100,'واحدها'!J8,'واحدها'!J8,'وزن‌ها'!E12,'وزن‌ها'!E12,'واحدها'!K8,'واحدها'!L8,0)</f>
        <v/>
      </c>
      <c r="I134" s="10">
        <f>G134*H134</f>
        <v/>
      </c>
      <c r="J134" s="10">
        <f>SUMIFS($I$5:$I$265,$A$5:$A$265,A134)</f>
        <v/>
      </c>
      <c r="K134" s="20">
        <f>IF(J134=0,0,'تنظیمات'!$B$7*INT(F134*I134/(J134*'تنظیمات'!$B$7)))</f>
        <v/>
      </c>
      <c r="L134" s="10">
        <f>IF(J134=0,0,F134*I134-J134*'تنظیمات'!$B$7*INT(F134*I134/(J134*'تنظیمات'!$B$7)))</f>
        <v/>
      </c>
      <c r="M134" s="10">
        <f>1+COUNTIFS($A$5:$A$265,A134,$L$5:$L$265,"&gt;"&amp;L134)+COUNTIFS($A$5:$A$265,A134,$L$5:$L$265,L134,$D$5:$D$265,"&lt;"&amp;D134)</f>
        <v/>
      </c>
      <c r="N134" s="20">
        <f>IF(J134=0,0,F134-SUMIFS($K$5:$K$265,$A$5:$A$265,A134))</f>
        <v/>
      </c>
      <c r="O134" s="10">
        <f>INT(N134/'تنظیمات'!$B$7)</f>
        <v/>
      </c>
      <c r="P134" s="10">
        <f>N134-O134*'تنظیمات'!$B$7</f>
        <v/>
      </c>
      <c r="Q134" s="20">
        <f>IF(J134=0,0,K134+IF(M134&lt;=O134,'تنظیمات'!$B$7,0)+IF(M134=1,P134,0))</f>
        <v/>
      </c>
      <c r="R134" s="22">
        <f>'سطرهای تسهیم'!F19</f>
        <v/>
      </c>
      <c r="S134" s="22">
        <f>'سطرهای تسهیم'!G19</f>
        <v/>
      </c>
      <c r="T134" s="4">
        <f>IFERROR(INDEX('دسته‌ها'!$D$5:$D$25,MATCH(S134,'دسته‌ها'!$A$5:$A$25,0)),"خیر")</f>
        <v/>
      </c>
    </row>
    <row r="135">
      <c r="A135" s="22">
        <f>'سطرهای تسهیم'!A19</f>
        <v/>
      </c>
      <c r="B135" s="22">
        <f>'سطرهای تسهیم'!B19</f>
        <v/>
      </c>
      <c r="C135" s="22">
        <f>'واحدها'!A9</f>
        <v/>
      </c>
      <c r="D135" s="12">
        <f>'واحدها'!H9</f>
        <v/>
      </c>
      <c r="E135" s="22">
        <f>'سطرهای تسهیم'!D19</f>
        <v/>
      </c>
      <c r="F135" s="19">
        <f>'سطرهای تسهیم'!E19</f>
        <v/>
      </c>
      <c r="G135" s="12">
        <f>IF('واحدها'!F9="بله",'شمول'!F12,0)</f>
        <v/>
      </c>
      <c r="H135" s="10">
        <f>CHOOSE(MATCH(E135,'فهرست‌ها'!$A$4:$A$13,0),1,'واحدها'!E9,'واحدها'!D9*100,'واحدها'!J9,'واحدها'!J9,'وزن‌ها'!F12,'وزن‌ها'!F12,'واحدها'!K9,'واحدها'!L9,0)</f>
        <v/>
      </c>
      <c r="I135" s="10">
        <f>G135*H135</f>
        <v/>
      </c>
      <c r="J135" s="10">
        <f>SUMIFS($I$5:$I$265,$A$5:$A$265,A135)</f>
        <v/>
      </c>
      <c r="K135" s="20">
        <f>IF(J135=0,0,'تنظیمات'!$B$7*INT(F135*I135/(J135*'تنظیمات'!$B$7)))</f>
        <v/>
      </c>
      <c r="L135" s="10">
        <f>IF(J135=0,0,F135*I135-J135*'تنظیمات'!$B$7*INT(F135*I135/(J135*'تنظیمات'!$B$7)))</f>
        <v/>
      </c>
      <c r="M135" s="10">
        <f>1+COUNTIFS($A$5:$A$265,A135,$L$5:$L$265,"&gt;"&amp;L135)+COUNTIFS($A$5:$A$265,A135,$L$5:$L$265,L135,$D$5:$D$265,"&lt;"&amp;D135)</f>
        <v/>
      </c>
      <c r="N135" s="20">
        <f>IF(J135=0,0,F135-SUMIFS($K$5:$K$265,$A$5:$A$265,A135))</f>
        <v/>
      </c>
      <c r="O135" s="10">
        <f>INT(N135/'تنظیمات'!$B$7)</f>
        <v/>
      </c>
      <c r="P135" s="10">
        <f>N135-O135*'تنظیمات'!$B$7</f>
        <v/>
      </c>
      <c r="Q135" s="20">
        <f>IF(J135=0,0,K135+IF(M135&lt;=O135,'تنظیمات'!$B$7,0)+IF(M135=1,P135,0))</f>
        <v/>
      </c>
      <c r="R135" s="22">
        <f>'سطرهای تسهیم'!F19</f>
        <v/>
      </c>
      <c r="S135" s="22">
        <f>'سطرهای تسهیم'!G19</f>
        <v/>
      </c>
      <c r="T135" s="4">
        <f>IFERROR(INDEX('دسته‌ها'!$D$5:$D$25,MATCH(S135,'دسته‌ها'!$A$5:$A$25,0)),"خیر")</f>
        <v/>
      </c>
    </row>
    <row r="136">
      <c r="A136" s="22">
        <f>'سطرهای تسهیم'!A19</f>
        <v/>
      </c>
      <c r="B136" s="22">
        <f>'سطرهای تسهیم'!B19</f>
        <v/>
      </c>
      <c r="C136" s="22">
        <f>'واحدها'!A10</f>
        <v/>
      </c>
      <c r="D136" s="12">
        <f>'واحدها'!H10</f>
        <v/>
      </c>
      <c r="E136" s="22">
        <f>'سطرهای تسهیم'!D19</f>
        <v/>
      </c>
      <c r="F136" s="19">
        <f>'سطرهای تسهیم'!E19</f>
        <v/>
      </c>
      <c r="G136" s="12">
        <f>IF('واحدها'!F10="بله",'شمول'!G12,0)</f>
        <v/>
      </c>
      <c r="H136" s="10">
        <f>CHOOSE(MATCH(E136,'فهرست‌ها'!$A$4:$A$13,0),1,'واحدها'!E10,'واحدها'!D10*100,'واحدها'!J10,'واحدها'!J10,'وزن‌ها'!G12,'وزن‌ها'!G12,'واحدها'!K10,'واحدها'!L10,0)</f>
        <v/>
      </c>
      <c r="I136" s="10">
        <f>G136*H136</f>
        <v/>
      </c>
      <c r="J136" s="10">
        <f>SUMIFS($I$5:$I$265,$A$5:$A$265,A136)</f>
        <v/>
      </c>
      <c r="K136" s="20">
        <f>IF(J136=0,0,'تنظیمات'!$B$7*INT(F136*I136/(J136*'تنظیمات'!$B$7)))</f>
        <v/>
      </c>
      <c r="L136" s="10">
        <f>IF(J136=0,0,F136*I136-J136*'تنظیمات'!$B$7*INT(F136*I136/(J136*'تنظیمات'!$B$7)))</f>
        <v/>
      </c>
      <c r="M136" s="10">
        <f>1+COUNTIFS($A$5:$A$265,A136,$L$5:$L$265,"&gt;"&amp;L136)+COUNTIFS($A$5:$A$265,A136,$L$5:$L$265,L136,$D$5:$D$265,"&lt;"&amp;D136)</f>
        <v/>
      </c>
      <c r="N136" s="20">
        <f>IF(J136=0,0,F136-SUMIFS($K$5:$K$265,$A$5:$A$265,A136))</f>
        <v/>
      </c>
      <c r="O136" s="10">
        <f>INT(N136/'تنظیمات'!$B$7)</f>
        <v/>
      </c>
      <c r="P136" s="10">
        <f>N136-O136*'تنظیمات'!$B$7</f>
        <v/>
      </c>
      <c r="Q136" s="20">
        <f>IF(J136=0,0,K136+IF(M136&lt;=O136,'تنظیمات'!$B$7,0)+IF(M136=1,P136,0))</f>
        <v/>
      </c>
      <c r="R136" s="22">
        <f>'سطرهای تسهیم'!F19</f>
        <v/>
      </c>
      <c r="S136" s="22">
        <f>'سطرهای تسهیم'!G19</f>
        <v/>
      </c>
      <c r="T136" s="4">
        <f>IFERROR(INDEX('دسته‌ها'!$D$5:$D$25,MATCH(S136,'دسته‌ها'!$A$5:$A$25,0)),"خیر")</f>
        <v/>
      </c>
    </row>
    <row r="137">
      <c r="A137" s="22">
        <f>'سطرهای تسهیم'!A19</f>
        <v/>
      </c>
      <c r="B137" s="22">
        <f>'سطرهای تسهیم'!B19</f>
        <v/>
      </c>
      <c r="C137" s="22">
        <f>'واحدها'!A11</f>
        <v/>
      </c>
      <c r="D137" s="12">
        <f>'واحدها'!H11</f>
        <v/>
      </c>
      <c r="E137" s="22">
        <f>'سطرهای تسهیم'!D19</f>
        <v/>
      </c>
      <c r="F137" s="19">
        <f>'سطرهای تسهیم'!E19</f>
        <v/>
      </c>
      <c r="G137" s="12">
        <f>IF('واحدها'!F11="بله",'شمول'!H12,0)</f>
        <v/>
      </c>
      <c r="H137" s="10">
        <f>CHOOSE(MATCH(E137,'فهرست‌ها'!$A$4:$A$13,0),1,'واحدها'!E11,'واحدها'!D11*100,'واحدها'!J11,'واحدها'!J11,'وزن‌ها'!H12,'وزن‌ها'!H12,'واحدها'!K11,'واحدها'!L11,0)</f>
        <v/>
      </c>
      <c r="I137" s="10">
        <f>G137*H137</f>
        <v/>
      </c>
      <c r="J137" s="10">
        <f>SUMIFS($I$5:$I$265,$A$5:$A$265,A137)</f>
        <v/>
      </c>
      <c r="K137" s="20">
        <f>IF(J137=0,0,'تنظیمات'!$B$7*INT(F137*I137/(J137*'تنظیمات'!$B$7)))</f>
        <v/>
      </c>
      <c r="L137" s="10">
        <f>IF(J137=0,0,F137*I137-J137*'تنظیمات'!$B$7*INT(F137*I137/(J137*'تنظیمات'!$B$7)))</f>
        <v/>
      </c>
      <c r="M137" s="10">
        <f>1+COUNTIFS($A$5:$A$265,A137,$L$5:$L$265,"&gt;"&amp;L137)+COUNTIFS($A$5:$A$265,A137,$L$5:$L$265,L137,$D$5:$D$265,"&lt;"&amp;D137)</f>
        <v/>
      </c>
      <c r="N137" s="20">
        <f>IF(J137=0,0,F137-SUMIFS($K$5:$K$265,$A$5:$A$265,A137))</f>
        <v/>
      </c>
      <c r="O137" s="10">
        <f>INT(N137/'تنظیمات'!$B$7)</f>
        <v/>
      </c>
      <c r="P137" s="10">
        <f>N137-O137*'تنظیمات'!$B$7</f>
        <v/>
      </c>
      <c r="Q137" s="20">
        <f>IF(J137=0,0,K137+IF(M137&lt;=O137,'تنظیمات'!$B$7,0)+IF(M137=1,P137,0))</f>
        <v/>
      </c>
      <c r="R137" s="22">
        <f>'سطرهای تسهیم'!F19</f>
        <v/>
      </c>
      <c r="S137" s="22">
        <f>'سطرهای تسهیم'!G19</f>
        <v/>
      </c>
      <c r="T137" s="4">
        <f>IFERROR(INDEX('دسته‌ها'!$D$5:$D$25,MATCH(S137,'دسته‌ها'!$A$5:$A$25,0)),"خیر")</f>
        <v/>
      </c>
    </row>
    <row r="138">
      <c r="A138" s="22">
        <f>'سطرهای تسهیم'!A19</f>
        <v/>
      </c>
      <c r="B138" s="22">
        <f>'سطرهای تسهیم'!B19</f>
        <v/>
      </c>
      <c r="C138" s="22">
        <f>'واحدها'!A12</f>
        <v/>
      </c>
      <c r="D138" s="12">
        <f>'واحدها'!H12</f>
        <v/>
      </c>
      <c r="E138" s="22">
        <f>'سطرهای تسهیم'!D19</f>
        <v/>
      </c>
      <c r="F138" s="19">
        <f>'سطرهای تسهیم'!E19</f>
        <v/>
      </c>
      <c r="G138" s="12">
        <f>IF('واحدها'!F12="بله",'شمول'!I12,0)</f>
        <v/>
      </c>
      <c r="H138" s="10">
        <f>CHOOSE(MATCH(E138,'فهرست‌ها'!$A$4:$A$13,0),1,'واحدها'!E12,'واحدها'!D12*100,'واحدها'!J12,'واحدها'!J12,'وزن‌ها'!I12,'وزن‌ها'!I12,'واحدها'!K12,'واحدها'!L12,0)</f>
        <v/>
      </c>
      <c r="I138" s="10">
        <f>G138*H138</f>
        <v/>
      </c>
      <c r="J138" s="10">
        <f>SUMIFS($I$5:$I$265,$A$5:$A$265,A138)</f>
        <v/>
      </c>
      <c r="K138" s="20">
        <f>IF(J138=0,0,'تنظیمات'!$B$7*INT(F138*I138/(J138*'تنظیمات'!$B$7)))</f>
        <v/>
      </c>
      <c r="L138" s="10">
        <f>IF(J138=0,0,F138*I138-J138*'تنظیمات'!$B$7*INT(F138*I138/(J138*'تنظیمات'!$B$7)))</f>
        <v/>
      </c>
      <c r="M138" s="10">
        <f>1+COUNTIFS($A$5:$A$265,A138,$L$5:$L$265,"&gt;"&amp;L138)+COUNTIFS($A$5:$A$265,A138,$L$5:$L$265,L138,$D$5:$D$265,"&lt;"&amp;D138)</f>
        <v/>
      </c>
      <c r="N138" s="20">
        <f>IF(J138=0,0,F138-SUMIFS($K$5:$K$265,$A$5:$A$265,A138))</f>
        <v/>
      </c>
      <c r="O138" s="10">
        <f>INT(N138/'تنظیمات'!$B$7)</f>
        <v/>
      </c>
      <c r="P138" s="10">
        <f>N138-O138*'تنظیمات'!$B$7</f>
        <v/>
      </c>
      <c r="Q138" s="20">
        <f>IF(J138=0,0,K138+IF(M138&lt;=O138,'تنظیمات'!$B$7,0)+IF(M138=1,P138,0))</f>
        <v/>
      </c>
      <c r="R138" s="22">
        <f>'سطرهای تسهیم'!F19</f>
        <v/>
      </c>
      <c r="S138" s="22">
        <f>'سطرهای تسهیم'!G19</f>
        <v/>
      </c>
      <c r="T138" s="4">
        <f>IFERROR(INDEX('دسته‌ها'!$D$5:$D$25,MATCH(S138,'دسته‌ها'!$A$5:$A$25,0)),"خیر")</f>
        <v/>
      </c>
    </row>
    <row r="139">
      <c r="A139" s="22">
        <f>'سطرهای تسهیم'!A19</f>
        <v/>
      </c>
      <c r="B139" s="22">
        <f>'سطرهای تسهیم'!B19</f>
        <v/>
      </c>
      <c r="C139" s="22">
        <f>'واحدها'!A13</f>
        <v/>
      </c>
      <c r="D139" s="12">
        <f>'واحدها'!H13</f>
        <v/>
      </c>
      <c r="E139" s="22">
        <f>'سطرهای تسهیم'!D19</f>
        <v/>
      </c>
      <c r="F139" s="19">
        <f>'سطرهای تسهیم'!E19</f>
        <v/>
      </c>
      <c r="G139" s="12">
        <f>IF('واحدها'!F13="بله",'شمول'!J12,0)</f>
        <v/>
      </c>
      <c r="H139" s="10">
        <f>CHOOSE(MATCH(E139,'فهرست‌ها'!$A$4:$A$13,0),1,'واحدها'!E13,'واحدها'!D13*100,'واحدها'!J13,'واحدها'!J13,'وزن‌ها'!J12,'وزن‌ها'!J12,'واحدها'!K13,'واحدها'!L13,0)</f>
        <v/>
      </c>
      <c r="I139" s="10">
        <f>G139*H139</f>
        <v/>
      </c>
      <c r="J139" s="10">
        <f>SUMIFS($I$5:$I$265,$A$5:$A$265,A139)</f>
        <v/>
      </c>
      <c r="K139" s="20">
        <f>IF(J139=0,0,'تنظیمات'!$B$7*INT(F139*I139/(J139*'تنظیمات'!$B$7)))</f>
        <v/>
      </c>
      <c r="L139" s="10">
        <f>IF(J139=0,0,F139*I139-J139*'تنظیمات'!$B$7*INT(F139*I139/(J139*'تنظیمات'!$B$7)))</f>
        <v/>
      </c>
      <c r="M139" s="10">
        <f>1+COUNTIFS($A$5:$A$265,A139,$L$5:$L$265,"&gt;"&amp;L139)+COUNTIFS($A$5:$A$265,A139,$L$5:$L$265,L139,$D$5:$D$265,"&lt;"&amp;D139)</f>
        <v/>
      </c>
      <c r="N139" s="20">
        <f>IF(J139=0,0,F139-SUMIFS($K$5:$K$265,$A$5:$A$265,A139))</f>
        <v/>
      </c>
      <c r="O139" s="10">
        <f>INT(N139/'تنظیمات'!$B$7)</f>
        <v/>
      </c>
      <c r="P139" s="10">
        <f>N139-O139*'تنظیمات'!$B$7</f>
        <v/>
      </c>
      <c r="Q139" s="20">
        <f>IF(J139=0,0,K139+IF(M139&lt;=O139,'تنظیمات'!$B$7,0)+IF(M139=1,P139,0))</f>
        <v/>
      </c>
      <c r="R139" s="22">
        <f>'سطرهای تسهیم'!F19</f>
        <v/>
      </c>
      <c r="S139" s="22">
        <f>'سطرهای تسهیم'!G19</f>
        <v/>
      </c>
      <c r="T139" s="4">
        <f>IFERROR(INDEX('دسته‌ها'!$D$5:$D$25,MATCH(S139,'دسته‌ها'!$A$5:$A$25,0)),"خیر")</f>
        <v/>
      </c>
    </row>
    <row r="140">
      <c r="A140" s="22">
        <f>'سطرهای تسهیم'!A20</f>
        <v/>
      </c>
      <c r="B140" s="22">
        <f>'سطرهای تسهیم'!B20</f>
        <v/>
      </c>
      <c r="C140" s="22">
        <f>'واحدها'!A5</f>
        <v/>
      </c>
      <c r="D140" s="12">
        <f>'واحدها'!H5</f>
        <v/>
      </c>
      <c r="E140" s="22">
        <f>'سطرهای تسهیم'!D20</f>
        <v/>
      </c>
      <c r="F140" s="19">
        <f>'سطرهای تسهیم'!E20</f>
        <v/>
      </c>
      <c r="G140" s="12">
        <f>IF('واحدها'!F5="بله",'شمول'!B12,0)</f>
        <v/>
      </c>
      <c r="H140" s="10">
        <f>CHOOSE(MATCH(E140,'فهرست‌ها'!$A$4:$A$13,0),1,'واحدها'!E5,'واحدها'!D5*100,'واحدها'!J5,'واحدها'!J5,'وزن‌ها'!B12,'وزن‌ها'!B12,'واحدها'!K5,'واحدها'!L5,0)</f>
        <v/>
      </c>
      <c r="I140" s="10">
        <f>G140*H140</f>
        <v/>
      </c>
      <c r="J140" s="10">
        <f>SUMIFS($I$5:$I$265,$A$5:$A$265,A140)</f>
        <v/>
      </c>
      <c r="K140" s="20">
        <f>IF(J140=0,0,'تنظیمات'!$B$7*INT(F140*I140/(J140*'تنظیمات'!$B$7)))</f>
        <v/>
      </c>
      <c r="L140" s="10">
        <f>IF(J140=0,0,F140*I140-J140*'تنظیمات'!$B$7*INT(F140*I140/(J140*'تنظیمات'!$B$7)))</f>
        <v/>
      </c>
      <c r="M140" s="10">
        <f>1+COUNTIFS($A$5:$A$265,A140,$L$5:$L$265,"&gt;"&amp;L140)+COUNTIFS($A$5:$A$265,A140,$L$5:$L$265,L140,$D$5:$D$265,"&lt;"&amp;D140)</f>
        <v/>
      </c>
      <c r="N140" s="20">
        <f>IF(J140=0,0,F140-SUMIFS($K$5:$K$265,$A$5:$A$265,A140))</f>
        <v/>
      </c>
      <c r="O140" s="10">
        <f>INT(N140/'تنظیمات'!$B$7)</f>
        <v/>
      </c>
      <c r="P140" s="10">
        <f>N140-O140*'تنظیمات'!$B$7</f>
        <v/>
      </c>
      <c r="Q140" s="20">
        <f>IF(J140=0,0,K140+IF(M140&lt;=O140,'تنظیمات'!$B$7,0)+IF(M140=1,P140,0))</f>
        <v/>
      </c>
      <c r="R140" s="22">
        <f>'سطرهای تسهیم'!F20</f>
        <v/>
      </c>
      <c r="S140" s="22">
        <f>'سطرهای تسهیم'!G20</f>
        <v/>
      </c>
      <c r="T140" s="4">
        <f>IFERROR(INDEX('دسته‌ها'!$D$5:$D$25,MATCH(S140,'دسته‌ها'!$A$5:$A$25,0)),"خیر")</f>
        <v/>
      </c>
    </row>
    <row r="141">
      <c r="A141" s="22">
        <f>'سطرهای تسهیم'!A20</f>
        <v/>
      </c>
      <c r="B141" s="22">
        <f>'سطرهای تسهیم'!B20</f>
        <v/>
      </c>
      <c r="C141" s="22">
        <f>'واحدها'!A6</f>
        <v/>
      </c>
      <c r="D141" s="12">
        <f>'واحدها'!H6</f>
        <v/>
      </c>
      <c r="E141" s="22">
        <f>'سطرهای تسهیم'!D20</f>
        <v/>
      </c>
      <c r="F141" s="19">
        <f>'سطرهای تسهیم'!E20</f>
        <v/>
      </c>
      <c r="G141" s="12">
        <f>IF('واحدها'!F6="بله",'شمول'!C12,0)</f>
        <v/>
      </c>
      <c r="H141" s="10">
        <f>CHOOSE(MATCH(E141,'فهرست‌ها'!$A$4:$A$13,0),1,'واحدها'!E6,'واحدها'!D6*100,'واحدها'!J6,'واحدها'!J6,'وزن‌ها'!C12,'وزن‌ها'!C12,'واحدها'!K6,'واحدها'!L6,0)</f>
        <v/>
      </c>
      <c r="I141" s="10">
        <f>G141*H141</f>
        <v/>
      </c>
      <c r="J141" s="10">
        <f>SUMIFS($I$5:$I$265,$A$5:$A$265,A141)</f>
        <v/>
      </c>
      <c r="K141" s="20">
        <f>IF(J141=0,0,'تنظیمات'!$B$7*INT(F141*I141/(J141*'تنظیمات'!$B$7)))</f>
        <v/>
      </c>
      <c r="L141" s="10">
        <f>IF(J141=0,0,F141*I141-J141*'تنظیمات'!$B$7*INT(F141*I141/(J141*'تنظیمات'!$B$7)))</f>
        <v/>
      </c>
      <c r="M141" s="10">
        <f>1+COUNTIFS($A$5:$A$265,A141,$L$5:$L$265,"&gt;"&amp;L141)+COUNTIFS($A$5:$A$265,A141,$L$5:$L$265,L141,$D$5:$D$265,"&lt;"&amp;D141)</f>
        <v/>
      </c>
      <c r="N141" s="20">
        <f>IF(J141=0,0,F141-SUMIFS($K$5:$K$265,$A$5:$A$265,A141))</f>
        <v/>
      </c>
      <c r="O141" s="10">
        <f>INT(N141/'تنظیمات'!$B$7)</f>
        <v/>
      </c>
      <c r="P141" s="10">
        <f>N141-O141*'تنظیمات'!$B$7</f>
        <v/>
      </c>
      <c r="Q141" s="20">
        <f>IF(J141=0,0,K141+IF(M141&lt;=O141,'تنظیمات'!$B$7,0)+IF(M141=1,P141,0))</f>
        <v/>
      </c>
      <c r="R141" s="22">
        <f>'سطرهای تسهیم'!F20</f>
        <v/>
      </c>
      <c r="S141" s="22">
        <f>'سطرهای تسهیم'!G20</f>
        <v/>
      </c>
      <c r="T141" s="4">
        <f>IFERROR(INDEX('دسته‌ها'!$D$5:$D$25,MATCH(S141,'دسته‌ها'!$A$5:$A$25,0)),"خیر")</f>
        <v/>
      </c>
    </row>
    <row r="142">
      <c r="A142" s="22">
        <f>'سطرهای تسهیم'!A20</f>
        <v/>
      </c>
      <c r="B142" s="22">
        <f>'سطرهای تسهیم'!B20</f>
        <v/>
      </c>
      <c r="C142" s="22">
        <f>'واحدها'!A7</f>
        <v/>
      </c>
      <c r="D142" s="12">
        <f>'واحدها'!H7</f>
        <v/>
      </c>
      <c r="E142" s="22">
        <f>'سطرهای تسهیم'!D20</f>
        <v/>
      </c>
      <c r="F142" s="19">
        <f>'سطرهای تسهیم'!E20</f>
        <v/>
      </c>
      <c r="G142" s="12">
        <f>IF('واحدها'!F7="بله",'شمول'!D12,0)</f>
        <v/>
      </c>
      <c r="H142" s="10">
        <f>CHOOSE(MATCH(E142,'فهرست‌ها'!$A$4:$A$13,0),1,'واحدها'!E7,'واحدها'!D7*100,'واحدها'!J7,'واحدها'!J7,'وزن‌ها'!D12,'وزن‌ها'!D12,'واحدها'!K7,'واحدها'!L7,0)</f>
        <v/>
      </c>
      <c r="I142" s="10">
        <f>G142*H142</f>
        <v/>
      </c>
      <c r="J142" s="10">
        <f>SUMIFS($I$5:$I$265,$A$5:$A$265,A142)</f>
        <v/>
      </c>
      <c r="K142" s="20">
        <f>IF(J142=0,0,'تنظیمات'!$B$7*INT(F142*I142/(J142*'تنظیمات'!$B$7)))</f>
        <v/>
      </c>
      <c r="L142" s="10">
        <f>IF(J142=0,0,F142*I142-J142*'تنظیمات'!$B$7*INT(F142*I142/(J142*'تنظیمات'!$B$7)))</f>
        <v/>
      </c>
      <c r="M142" s="10">
        <f>1+COUNTIFS($A$5:$A$265,A142,$L$5:$L$265,"&gt;"&amp;L142)+COUNTIFS($A$5:$A$265,A142,$L$5:$L$265,L142,$D$5:$D$265,"&lt;"&amp;D142)</f>
        <v/>
      </c>
      <c r="N142" s="20">
        <f>IF(J142=0,0,F142-SUMIFS($K$5:$K$265,$A$5:$A$265,A142))</f>
        <v/>
      </c>
      <c r="O142" s="10">
        <f>INT(N142/'تنظیمات'!$B$7)</f>
        <v/>
      </c>
      <c r="P142" s="10">
        <f>N142-O142*'تنظیمات'!$B$7</f>
        <v/>
      </c>
      <c r="Q142" s="20">
        <f>IF(J142=0,0,K142+IF(M142&lt;=O142,'تنظیمات'!$B$7,0)+IF(M142=1,P142,0))</f>
        <v/>
      </c>
      <c r="R142" s="22">
        <f>'سطرهای تسهیم'!F20</f>
        <v/>
      </c>
      <c r="S142" s="22">
        <f>'سطرهای تسهیم'!G20</f>
        <v/>
      </c>
      <c r="T142" s="4">
        <f>IFERROR(INDEX('دسته‌ها'!$D$5:$D$25,MATCH(S142,'دسته‌ها'!$A$5:$A$25,0)),"خیر")</f>
        <v/>
      </c>
    </row>
    <row r="143">
      <c r="A143" s="22">
        <f>'سطرهای تسهیم'!A20</f>
        <v/>
      </c>
      <c r="B143" s="22">
        <f>'سطرهای تسهیم'!B20</f>
        <v/>
      </c>
      <c r="C143" s="22">
        <f>'واحدها'!A8</f>
        <v/>
      </c>
      <c r="D143" s="12">
        <f>'واحدها'!H8</f>
        <v/>
      </c>
      <c r="E143" s="22">
        <f>'سطرهای تسهیم'!D20</f>
        <v/>
      </c>
      <c r="F143" s="19">
        <f>'سطرهای تسهیم'!E20</f>
        <v/>
      </c>
      <c r="G143" s="12">
        <f>IF('واحدها'!F8="بله",'شمول'!E12,0)</f>
        <v/>
      </c>
      <c r="H143" s="10">
        <f>CHOOSE(MATCH(E143,'فهرست‌ها'!$A$4:$A$13,0),1,'واحدها'!E8,'واحدها'!D8*100,'واحدها'!J8,'واحدها'!J8,'وزن‌ها'!E12,'وزن‌ها'!E12,'واحدها'!K8,'واحدها'!L8,0)</f>
        <v/>
      </c>
      <c r="I143" s="10">
        <f>G143*H143</f>
        <v/>
      </c>
      <c r="J143" s="10">
        <f>SUMIFS($I$5:$I$265,$A$5:$A$265,A143)</f>
        <v/>
      </c>
      <c r="K143" s="20">
        <f>IF(J143=0,0,'تنظیمات'!$B$7*INT(F143*I143/(J143*'تنظیمات'!$B$7)))</f>
        <v/>
      </c>
      <c r="L143" s="10">
        <f>IF(J143=0,0,F143*I143-J143*'تنظیمات'!$B$7*INT(F143*I143/(J143*'تنظیمات'!$B$7)))</f>
        <v/>
      </c>
      <c r="M143" s="10">
        <f>1+COUNTIFS($A$5:$A$265,A143,$L$5:$L$265,"&gt;"&amp;L143)+COUNTIFS($A$5:$A$265,A143,$L$5:$L$265,L143,$D$5:$D$265,"&lt;"&amp;D143)</f>
        <v/>
      </c>
      <c r="N143" s="20">
        <f>IF(J143=0,0,F143-SUMIFS($K$5:$K$265,$A$5:$A$265,A143))</f>
        <v/>
      </c>
      <c r="O143" s="10">
        <f>INT(N143/'تنظیمات'!$B$7)</f>
        <v/>
      </c>
      <c r="P143" s="10">
        <f>N143-O143*'تنظیمات'!$B$7</f>
        <v/>
      </c>
      <c r="Q143" s="20">
        <f>IF(J143=0,0,K143+IF(M143&lt;=O143,'تنظیمات'!$B$7,0)+IF(M143=1,P143,0))</f>
        <v/>
      </c>
      <c r="R143" s="22">
        <f>'سطرهای تسهیم'!F20</f>
        <v/>
      </c>
      <c r="S143" s="22">
        <f>'سطرهای تسهیم'!G20</f>
        <v/>
      </c>
      <c r="T143" s="4">
        <f>IFERROR(INDEX('دسته‌ها'!$D$5:$D$25,MATCH(S143,'دسته‌ها'!$A$5:$A$25,0)),"خیر")</f>
        <v/>
      </c>
    </row>
    <row r="144">
      <c r="A144" s="22">
        <f>'سطرهای تسهیم'!A20</f>
        <v/>
      </c>
      <c r="B144" s="22">
        <f>'سطرهای تسهیم'!B20</f>
        <v/>
      </c>
      <c r="C144" s="22">
        <f>'واحدها'!A9</f>
        <v/>
      </c>
      <c r="D144" s="12">
        <f>'واحدها'!H9</f>
        <v/>
      </c>
      <c r="E144" s="22">
        <f>'سطرهای تسهیم'!D20</f>
        <v/>
      </c>
      <c r="F144" s="19">
        <f>'سطرهای تسهیم'!E20</f>
        <v/>
      </c>
      <c r="G144" s="12">
        <f>IF('واحدها'!F9="بله",'شمول'!F12,0)</f>
        <v/>
      </c>
      <c r="H144" s="10">
        <f>CHOOSE(MATCH(E144,'فهرست‌ها'!$A$4:$A$13,0),1,'واحدها'!E9,'واحدها'!D9*100,'واحدها'!J9,'واحدها'!J9,'وزن‌ها'!F12,'وزن‌ها'!F12,'واحدها'!K9,'واحدها'!L9,0)</f>
        <v/>
      </c>
      <c r="I144" s="10">
        <f>G144*H144</f>
        <v/>
      </c>
      <c r="J144" s="10">
        <f>SUMIFS($I$5:$I$265,$A$5:$A$265,A144)</f>
        <v/>
      </c>
      <c r="K144" s="20">
        <f>IF(J144=0,0,'تنظیمات'!$B$7*INT(F144*I144/(J144*'تنظیمات'!$B$7)))</f>
        <v/>
      </c>
      <c r="L144" s="10">
        <f>IF(J144=0,0,F144*I144-J144*'تنظیمات'!$B$7*INT(F144*I144/(J144*'تنظیمات'!$B$7)))</f>
        <v/>
      </c>
      <c r="M144" s="10">
        <f>1+COUNTIFS($A$5:$A$265,A144,$L$5:$L$265,"&gt;"&amp;L144)+COUNTIFS($A$5:$A$265,A144,$L$5:$L$265,L144,$D$5:$D$265,"&lt;"&amp;D144)</f>
        <v/>
      </c>
      <c r="N144" s="20">
        <f>IF(J144=0,0,F144-SUMIFS($K$5:$K$265,$A$5:$A$265,A144))</f>
        <v/>
      </c>
      <c r="O144" s="10">
        <f>INT(N144/'تنظیمات'!$B$7)</f>
        <v/>
      </c>
      <c r="P144" s="10">
        <f>N144-O144*'تنظیمات'!$B$7</f>
        <v/>
      </c>
      <c r="Q144" s="20">
        <f>IF(J144=0,0,K144+IF(M144&lt;=O144,'تنظیمات'!$B$7,0)+IF(M144=1,P144,0))</f>
        <v/>
      </c>
      <c r="R144" s="22">
        <f>'سطرهای تسهیم'!F20</f>
        <v/>
      </c>
      <c r="S144" s="22">
        <f>'سطرهای تسهیم'!G20</f>
        <v/>
      </c>
      <c r="T144" s="4">
        <f>IFERROR(INDEX('دسته‌ها'!$D$5:$D$25,MATCH(S144,'دسته‌ها'!$A$5:$A$25,0)),"خیر")</f>
        <v/>
      </c>
    </row>
    <row r="145">
      <c r="A145" s="22">
        <f>'سطرهای تسهیم'!A20</f>
        <v/>
      </c>
      <c r="B145" s="22">
        <f>'سطرهای تسهیم'!B20</f>
        <v/>
      </c>
      <c r="C145" s="22">
        <f>'واحدها'!A10</f>
        <v/>
      </c>
      <c r="D145" s="12">
        <f>'واحدها'!H10</f>
        <v/>
      </c>
      <c r="E145" s="22">
        <f>'سطرهای تسهیم'!D20</f>
        <v/>
      </c>
      <c r="F145" s="19">
        <f>'سطرهای تسهیم'!E20</f>
        <v/>
      </c>
      <c r="G145" s="12">
        <f>IF('واحدها'!F10="بله",'شمول'!G12,0)</f>
        <v/>
      </c>
      <c r="H145" s="10">
        <f>CHOOSE(MATCH(E145,'فهرست‌ها'!$A$4:$A$13,0),1,'واحدها'!E10,'واحدها'!D10*100,'واحدها'!J10,'واحدها'!J10,'وزن‌ها'!G12,'وزن‌ها'!G12,'واحدها'!K10,'واحدها'!L10,0)</f>
        <v/>
      </c>
      <c r="I145" s="10">
        <f>G145*H145</f>
        <v/>
      </c>
      <c r="J145" s="10">
        <f>SUMIFS($I$5:$I$265,$A$5:$A$265,A145)</f>
        <v/>
      </c>
      <c r="K145" s="20">
        <f>IF(J145=0,0,'تنظیمات'!$B$7*INT(F145*I145/(J145*'تنظیمات'!$B$7)))</f>
        <v/>
      </c>
      <c r="L145" s="10">
        <f>IF(J145=0,0,F145*I145-J145*'تنظیمات'!$B$7*INT(F145*I145/(J145*'تنظیمات'!$B$7)))</f>
        <v/>
      </c>
      <c r="M145" s="10">
        <f>1+COUNTIFS($A$5:$A$265,A145,$L$5:$L$265,"&gt;"&amp;L145)+COUNTIFS($A$5:$A$265,A145,$L$5:$L$265,L145,$D$5:$D$265,"&lt;"&amp;D145)</f>
        <v/>
      </c>
      <c r="N145" s="20">
        <f>IF(J145=0,0,F145-SUMIFS($K$5:$K$265,$A$5:$A$265,A145))</f>
        <v/>
      </c>
      <c r="O145" s="10">
        <f>INT(N145/'تنظیمات'!$B$7)</f>
        <v/>
      </c>
      <c r="P145" s="10">
        <f>N145-O145*'تنظیمات'!$B$7</f>
        <v/>
      </c>
      <c r="Q145" s="20">
        <f>IF(J145=0,0,K145+IF(M145&lt;=O145,'تنظیمات'!$B$7,0)+IF(M145=1,P145,0))</f>
        <v/>
      </c>
      <c r="R145" s="22">
        <f>'سطرهای تسهیم'!F20</f>
        <v/>
      </c>
      <c r="S145" s="22">
        <f>'سطرهای تسهیم'!G20</f>
        <v/>
      </c>
      <c r="T145" s="4">
        <f>IFERROR(INDEX('دسته‌ها'!$D$5:$D$25,MATCH(S145,'دسته‌ها'!$A$5:$A$25,0)),"خیر")</f>
        <v/>
      </c>
    </row>
    <row r="146">
      <c r="A146" s="22">
        <f>'سطرهای تسهیم'!A20</f>
        <v/>
      </c>
      <c r="B146" s="22">
        <f>'سطرهای تسهیم'!B20</f>
        <v/>
      </c>
      <c r="C146" s="22">
        <f>'واحدها'!A11</f>
        <v/>
      </c>
      <c r="D146" s="12">
        <f>'واحدها'!H11</f>
        <v/>
      </c>
      <c r="E146" s="22">
        <f>'سطرهای تسهیم'!D20</f>
        <v/>
      </c>
      <c r="F146" s="19">
        <f>'سطرهای تسهیم'!E20</f>
        <v/>
      </c>
      <c r="G146" s="12">
        <f>IF('واحدها'!F11="بله",'شمول'!H12,0)</f>
        <v/>
      </c>
      <c r="H146" s="10">
        <f>CHOOSE(MATCH(E146,'فهرست‌ها'!$A$4:$A$13,0),1,'واحدها'!E11,'واحدها'!D11*100,'واحدها'!J11,'واحدها'!J11,'وزن‌ها'!H12,'وزن‌ها'!H12,'واحدها'!K11,'واحدها'!L11,0)</f>
        <v/>
      </c>
      <c r="I146" s="10">
        <f>G146*H146</f>
        <v/>
      </c>
      <c r="J146" s="10">
        <f>SUMIFS($I$5:$I$265,$A$5:$A$265,A146)</f>
        <v/>
      </c>
      <c r="K146" s="20">
        <f>IF(J146=0,0,'تنظیمات'!$B$7*INT(F146*I146/(J146*'تنظیمات'!$B$7)))</f>
        <v/>
      </c>
      <c r="L146" s="10">
        <f>IF(J146=0,0,F146*I146-J146*'تنظیمات'!$B$7*INT(F146*I146/(J146*'تنظیمات'!$B$7)))</f>
        <v/>
      </c>
      <c r="M146" s="10">
        <f>1+COUNTIFS($A$5:$A$265,A146,$L$5:$L$265,"&gt;"&amp;L146)+COUNTIFS($A$5:$A$265,A146,$L$5:$L$265,L146,$D$5:$D$265,"&lt;"&amp;D146)</f>
        <v/>
      </c>
      <c r="N146" s="20">
        <f>IF(J146=0,0,F146-SUMIFS($K$5:$K$265,$A$5:$A$265,A146))</f>
        <v/>
      </c>
      <c r="O146" s="10">
        <f>INT(N146/'تنظیمات'!$B$7)</f>
        <v/>
      </c>
      <c r="P146" s="10">
        <f>N146-O146*'تنظیمات'!$B$7</f>
        <v/>
      </c>
      <c r="Q146" s="20">
        <f>IF(J146=0,0,K146+IF(M146&lt;=O146,'تنظیمات'!$B$7,0)+IF(M146=1,P146,0))</f>
        <v/>
      </c>
      <c r="R146" s="22">
        <f>'سطرهای تسهیم'!F20</f>
        <v/>
      </c>
      <c r="S146" s="22">
        <f>'سطرهای تسهیم'!G20</f>
        <v/>
      </c>
      <c r="T146" s="4">
        <f>IFERROR(INDEX('دسته‌ها'!$D$5:$D$25,MATCH(S146,'دسته‌ها'!$A$5:$A$25,0)),"خیر")</f>
        <v/>
      </c>
    </row>
    <row r="147">
      <c r="A147" s="22">
        <f>'سطرهای تسهیم'!A20</f>
        <v/>
      </c>
      <c r="B147" s="22">
        <f>'سطرهای تسهیم'!B20</f>
        <v/>
      </c>
      <c r="C147" s="22">
        <f>'واحدها'!A12</f>
        <v/>
      </c>
      <c r="D147" s="12">
        <f>'واحدها'!H12</f>
        <v/>
      </c>
      <c r="E147" s="22">
        <f>'سطرهای تسهیم'!D20</f>
        <v/>
      </c>
      <c r="F147" s="19">
        <f>'سطرهای تسهیم'!E20</f>
        <v/>
      </c>
      <c r="G147" s="12">
        <f>IF('واحدها'!F12="بله",'شمول'!I12,0)</f>
        <v/>
      </c>
      <c r="H147" s="10">
        <f>CHOOSE(MATCH(E147,'فهرست‌ها'!$A$4:$A$13,0),1,'واحدها'!E12,'واحدها'!D12*100,'واحدها'!J12,'واحدها'!J12,'وزن‌ها'!I12,'وزن‌ها'!I12,'واحدها'!K12,'واحدها'!L12,0)</f>
        <v/>
      </c>
      <c r="I147" s="10">
        <f>G147*H147</f>
        <v/>
      </c>
      <c r="J147" s="10">
        <f>SUMIFS($I$5:$I$265,$A$5:$A$265,A147)</f>
        <v/>
      </c>
      <c r="K147" s="20">
        <f>IF(J147=0,0,'تنظیمات'!$B$7*INT(F147*I147/(J147*'تنظیمات'!$B$7)))</f>
        <v/>
      </c>
      <c r="L147" s="10">
        <f>IF(J147=0,0,F147*I147-J147*'تنظیمات'!$B$7*INT(F147*I147/(J147*'تنظیمات'!$B$7)))</f>
        <v/>
      </c>
      <c r="M147" s="10">
        <f>1+COUNTIFS($A$5:$A$265,A147,$L$5:$L$265,"&gt;"&amp;L147)+COUNTIFS($A$5:$A$265,A147,$L$5:$L$265,L147,$D$5:$D$265,"&lt;"&amp;D147)</f>
        <v/>
      </c>
      <c r="N147" s="20">
        <f>IF(J147=0,0,F147-SUMIFS($K$5:$K$265,$A$5:$A$265,A147))</f>
        <v/>
      </c>
      <c r="O147" s="10">
        <f>INT(N147/'تنظیمات'!$B$7)</f>
        <v/>
      </c>
      <c r="P147" s="10">
        <f>N147-O147*'تنظیمات'!$B$7</f>
        <v/>
      </c>
      <c r="Q147" s="20">
        <f>IF(J147=0,0,K147+IF(M147&lt;=O147,'تنظیمات'!$B$7,0)+IF(M147=1,P147,0))</f>
        <v/>
      </c>
      <c r="R147" s="22">
        <f>'سطرهای تسهیم'!F20</f>
        <v/>
      </c>
      <c r="S147" s="22">
        <f>'سطرهای تسهیم'!G20</f>
        <v/>
      </c>
      <c r="T147" s="4">
        <f>IFERROR(INDEX('دسته‌ها'!$D$5:$D$25,MATCH(S147,'دسته‌ها'!$A$5:$A$25,0)),"خیر")</f>
        <v/>
      </c>
    </row>
    <row r="148">
      <c r="A148" s="22">
        <f>'سطرهای تسهیم'!A20</f>
        <v/>
      </c>
      <c r="B148" s="22">
        <f>'سطرهای تسهیم'!B20</f>
        <v/>
      </c>
      <c r="C148" s="22">
        <f>'واحدها'!A13</f>
        <v/>
      </c>
      <c r="D148" s="12">
        <f>'واحدها'!H13</f>
        <v/>
      </c>
      <c r="E148" s="22">
        <f>'سطرهای تسهیم'!D20</f>
        <v/>
      </c>
      <c r="F148" s="19">
        <f>'سطرهای تسهیم'!E20</f>
        <v/>
      </c>
      <c r="G148" s="12">
        <f>IF('واحدها'!F13="بله",'شمول'!J12,0)</f>
        <v/>
      </c>
      <c r="H148" s="10">
        <f>CHOOSE(MATCH(E148,'فهرست‌ها'!$A$4:$A$13,0),1,'واحدها'!E13,'واحدها'!D13*100,'واحدها'!J13,'واحدها'!J13,'وزن‌ها'!J12,'وزن‌ها'!J12,'واحدها'!K13,'واحدها'!L13,0)</f>
        <v/>
      </c>
      <c r="I148" s="10">
        <f>G148*H148</f>
        <v/>
      </c>
      <c r="J148" s="10">
        <f>SUMIFS($I$5:$I$265,$A$5:$A$265,A148)</f>
        <v/>
      </c>
      <c r="K148" s="20">
        <f>IF(J148=0,0,'تنظیمات'!$B$7*INT(F148*I148/(J148*'تنظیمات'!$B$7)))</f>
        <v/>
      </c>
      <c r="L148" s="10">
        <f>IF(J148=0,0,F148*I148-J148*'تنظیمات'!$B$7*INT(F148*I148/(J148*'تنظیمات'!$B$7)))</f>
        <v/>
      </c>
      <c r="M148" s="10">
        <f>1+COUNTIFS($A$5:$A$265,A148,$L$5:$L$265,"&gt;"&amp;L148)+COUNTIFS($A$5:$A$265,A148,$L$5:$L$265,L148,$D$5:$D$265,"&lt;"&amp;D148)</f>
        <v/>
      </c>
      <c r="N148" s="20">
        <f>IF(J148=0,0,F148-SUMIFS($K$5:$K$265,$A$5:$A$265,A148))</f>
        <v/>
      </c>
      <c r="O148" s="10">
        <f>INT(N148/'تنظیمات'!$B$7)</f>
        <v/>
      </c>
      <c r="P148" s="10">
        <f>N148-O148*'تنظیمات'!$B$7</f>
        <v/>
      </c>
      <c r="Q148" s="20">
        <f>IF(J148=0,0,K148+IF(M148&lt;=O148,'تنظیمات'!$B$7,0)+IF(M148=1,P148,0))</f>
        <v/>
      </c>
      <c r="R148" s="22">
        <f>'سطرهای تسهیم'!F20</f>
        <v/>
      </c>
      <c r="S148" s="22">
        <f>'سطرهای تسهیم'!G20</f>
        <v/>
      </c>
      <c r="T148" s="4">
        <f>IFERROR(INDEX('دسته‌ها'!$D$5:$D$25,MATCH(S148,'دسته‌ها'!$A$5:$A$25,0)),"خیر")</f>
        <v/>
      </c>
    </row>
    <row r="149">
      <c r="A149" s="22">
        <f>'سطرهای تسهیم'!A21</f>
        <v/>
      </c>
      <c r="B149" s="22">
        <f>'سطرهای تسهیم'!B21</f>
        <v/>
      </c>
      <c r="C149" s="22">
        <f>'واحدها'!A5</f>
        <v/>
      </c>
      <c r="D149" s="12">
        <f>'واحدها'!H5</f>
        <v/>
      </c>
      <c r="E149" s="22">
        <f>'سطرهای تسهیم'!D21</f>
        <v/>
      </c>
      <c r="F149" s="19">
        <f>'سطرهای تسهیم'!E21</f>
        <v/>
      </c>
      <c r="G149" s="12">
        <f>IF('واحدها'!F5="بله",'شمول'!B13,0)</f>
        <v/>
      </c>
      <c r="H149" s="10">
        <f>CHOOSE(MATCH(E149,'فهرست‌ها'!$A$4:$A$13,0),1,'واحدها'!E5,'واحدها'!D5*100,'واحدها'!J5,'واحدها'!J5,'وزن‌ها'!B13,'وزن‌ها'!B13,'واحدها'!K5,'واحدها'!L5,0)</f>
        <v/>
      </c>
      <c r="I149" s="10">
        <f>G149*H149</f>
        <v/>
      </c>
      <c r="J149" s="10">
        <f>SUMIFS($I$5:$I$265,$A$5:$A$265,A149)</f>
        <v/>
      </c>
      <c r="K149" s="20">
        <f>IF(J149=0,0,'تنظیمات'!$B$7*INT(F149*I149/(J149*'تنظیمات'!$B$7)))</f>
        <v/>
      </c>
      <c r="L149" s="10">
        <f>IF(J149=0,0,F149*I149-J149*'تنظیمات'!$B$7*INT(F149*I149/(J149*'تنظیمات'!$B$7)))</f>
        <v/>
      </c>
      <c r="M149" s="10">
        <f>1+COUNTIFS($A$5:$A$265,A149,$L$5:$L$265,"&gt;"&amp;L149)+COUNTIFS($A$5:$A$265,A149,$L$5:$L$265,L149,$D$5:$D$265,"&lt;"&amp;D149)</f>
        <v/>
      </c>
      <c r="N149" s="20">
        <f>IF(J149=0,0,F149-SUMIFS($K$5:$K$265,$A$5:$A$265,A149))</f>
        <v/>
      </c>
      <c r="O149" s="10">
        <f>INT(N149/'تنظیمات'!$B$7)</f>
        <v/>
      </c>
      <c r="P149" s="10">
        <f>N149-O149*'تنظیمات'!$B$7</f>
        <v/>
      </c>
      <c r="Q149" s="20">
        <f>IF(J149=0,0,K149+IF(M149&lt;=O149,'تنظیمات'!$B$7,0)+IF(M149=1,P149,0))</f>
        <v/>
      </c>
      <c r="R149" s="22">
        <f>'سطرهای تسهیم'!F21</f>
        <v/>
      </c>
      <c r="S149" s="22">
        <f>'سطرهای تسهیم'!G21</f>
        <v/>
      </c>
      <c r="T149" s="4">
        <f>IFERROR(INDEX('دسته‌ها'!$D$5:$D$25,MATCH(S149,'دسته‌ها'!$A$5:$A$25,0)),"خیر")</f>
        <v/>
      </c>
    </row>
    <row r="150">
      <c r="A150" s="22">
        <f>'سطرهای تسهیم'!A21</f>
        <v/>
      </c>
      <c r="B150" s="22">
        <f>'سطرهای تسهیم'!B21</f>
        <v/>
      </c>
      <c r="C150" s="22">
        <f>'واحدها'!A6</f>
        <v/>
      </c>
      <c r="D150" s="12">
        <f>'واحدها'!H6</f>
        <v/>
      </c>
      <c r="E150" s="22">
        <f>'سطرهای تسهیم'!D21</f>
        <v/>
      </c>
      <c r="F150" s="19">
        <f>'سطرهای تسهیم'!E21</f>
        <v/>
      </c>
      <c r="G150" s="12">
        <f>IF('واحدها'!F6="بله",'شمول'!C13,0)</f>
        <v/>
      </c>
      <c r="H150" s="10">
        <f>CHOOSE(MATCH(E150,'فهرست‌ها'!$A$4:$A$13,0),1,'واحدها'!E6,'واحدها'!D6*100,'واحدها'!J6,'واحدها'!J6,'وزن‌ها'!C13,'وزن‌ها'!C13,'واحدها'!K6,'واحدها'!L6,0)</f>
        <v/>
      </c>
      <c r="I150" s="10">
        <f>G150*H150</f>
        <v/>
      </c>
      <c r="J150" s="10">
        <f>SUMIFS($I$5:$I$265,$A$5:$A$265,A150)</f>
        <v/>
      </c>
      <c r="K150" s="20">
        <f>IF(J150=0,0,'تنظیمات'!$B$7*INT(F150*I150/(J150*'تنظیمات'!$B$7)))</f>
        <v/>
      </c>
      <c r="L150" s="10">
        <f>IF(J150=0,0,F150*I150-J150*'تنظیمات'!$B$7*INT(F150*I150/(J150*'تنظیمات'!$B$7)))</f>
        <v/>
      </c>
      <c r="M150" s="10">
        <f>1+COUNTIFS($A$5:$A$265,A150,$L$5:$L$265,"&gt;"&amp;L150)+COUNTIFS($A$5:$A$265,A150,$L$5:$L$265,L150,$D$5:$D$265,"&lt;"&amp;D150)</f>
        <v/>
      </c>
      <c r="N150" s="20">
        <f>IF(J150=0,0,F150-SUMIFS($K$5:$K$265,$A$5:$A$265,A150))</f>
        <v/>
      </c>
      <c r="O150" s="10">
        <f>INT(N150/'تنظیمات'!$B$7)</f>
        <v/>
      </c>
      <c r="P150" s="10">
        <f>N150-O150*'تنظیمات'!$B$7</f>
        <v/>
      </c>
      <c r="Q150" s="20">
        <f>IF(J150=0,0,K150+IF(M150&lt;=O150,'تنظیمات'!$B$7,0)+IF(M150=1,P150,0))</f>
        <v/>
      </c>
      <c r="R150" s="22">
        <f>'سطرهای تسهیم'!F21</f>
        <v/>
      </c>
      <c r="S150" s="22">
        <f>'سطرهای تسهیم'!G21</f>
        <v/>
      </c>
      <c r="T150" s="4">
        <f>IFERROR(INDEX('دسته‌ها'!$D$5:$D$25,MATCH(S150,'دسته‌ها'!$A$5:$A$25,0)),"خیر")</f>
        <v/>
      </c>
    </row>
    <row r="151">
      <c r="A151" s="22">
        <f>'سطرهای تسهیم'!A21</f>
        <v/>
      </c>
      <c r="B151" s="22">
        <f>'سطرهای تسهیم'!B21</f>
        <v/>
      </c>
      <c r="C151" s="22">
        <f>'واحدها'!A7</f>
        <v/>
      </c>
      <c r="D151" s="12">
        <f>'واحدها'!H7</f>
        <v/>
      </c>
      <c r="E151" s="22">
        <f>'سطرهای تسهیم'!D21</f>
        <v/>
      </c>
      <c r="F151" s="19">
        <f>'سطرهای تسهیم'!E21</f>
        <v/>
      </c>
      <c r="G151" s="12">
        <f>IF('واحدها'!F7="بله",'شمول'!D13,0)</f>
        <v/>
      </c>
      <c r="H151" s="10">
        <f>CHOOSE(MATCH(E151,'فهرست‌ها'!$A$4:$A$13,0),1,'واحدها'!E7,'واحدها'!D7*100,'واحدها'!J7,'واحدها'!J7,'وزن‌ها'!D13,'وزن‌ها'!D13,'واحدها'!K7,'واحدها'!L7,0)</f>
        <v/>
      </c>
      <c r="I151" s="10">
        <f>G151*H151</f>
        <v/>
      </c>
      <c r="J151" s="10">
        <f>SUMIFS($I$5:$I$265,$A$5:$A$265,A151)</f>
        <v/>
      </c>
      <c r="K151" s="20">
        <f>IF(J151=0,0,'تنظیمات'!$B$7*INT(F151*I151/(J151*'تنظیمات'!$B$7)))</f>
        <v/>
      </c>
      <c r="L151" s="10">
        <f>IF(J151=0,0,F151*I151-J151*'تنظیمات'!$B$7*INT(F151*I151/(J151*'تنظیمات'!$B$7)))</f>
        <v/>
      </c>
      <c r="M151" s="10">
        <f>1+COUNTIFS($A$5:$A$265,A151,$L$5:$L$265,"&gt;"&amp;L151)+COUNTIFS($A$5:$A$265,A151,$L$5:$L$265,L151,$D$5:$D$265,"&lt;"&amp;D151)</f>
        <v/>
      </c>
      <c r="N151" s="20">
        <f>IF(J151=0,0,F151-SUMIFS($K$5:$K$265,$A$5:$A$265,A151))</f>
        <v/>
      </c>
      <c r="O151" s="10">
        <f>INT(N151/'تنظیمات'!$B$7)</f>
        <v/>
      </c>
      <c r="P151" s="10">
        <f>N151-O151*'تنظیمات'!$B$7</f>
        <v/>
      </c>
      <c r="Q151" s="20">
        <f>IF(J151=0,0,K151+IF(M151&lt;=O151,'تنظیمات'!$B$7,0)+IF(M151=1,P151,0))</f>
        <v/>
      </c>
      <c r="R151" s="22">
        <f>'سطرهای تسهیم'!F21</f>
        <v/>
      </c>
      <c r="S151" s="22">
        <f>'سطرهای تسهیم'!G21</f>
        <v/>
      </c>
      <c r="T151" s="4">
        <f>IFERROR(INDEX('دسته‌ها'!$D$5:$D$25,MATCH(S151,'دسته‌ها'!$A$5:$A$25,0)),"خیر")</f>
        <v/>
      </c>
    </row>
    <row r="152">
      <c r="A152" s="22">
        <f>'سطرهای تسهیم'!A21</f>
        <v/>
      </c>
      <c r="B152" s="22">
        <f>'سطرهای تسهیم'!B21</f>
        <v/>
      </c>
      <c r="C152" s="22">
        <f>'واحدها'!A8</f>
        <v/>
      </c>
      <c r="D152" s="12">
        <f>'واحدها'!H8</f>
        <v/>
      </c>
      <c r="E152" s="22">
        <f>'سطرهای تسهیم'!D21</f>
        <v/>
      </c>
      <c r="F152" s="19">
        <f>'سطرهای تسهیم'!E21</f>
        <v/>
      </c>
      <c r="G152" s="12">
        <f>IF('واحدها'!F8="بله",'شمول'!E13,0)</f>
        <v/>
      </c>
      <c r="H152" s="10">
        <f>CHOOSE(MATCH(E152,'فهرست‌ها'!$A$4:$A$13,0),1,'واحدها'!E8,'واحدها'!D8*100,'واحدها'!J8,'واحدها'!J8,'وزن‌ها'!E13,'وزن‌ها'!E13,'واحدها'!K8,'واحدها'!L8,0)</f>
        <v/>
      </c>
      <c r="I152" s="10">
        <f>G152*H152</f>
        <v/>
      </c>
      <c r="J152" s="10">
        <f>SUMIFS($I$5:$I$265,$A$5:$A$265,A152)</f>
        <v/>
      </c>
      <c r="K152" s="20">
        <f>IF(J152=0,0,'تنظیمات'!$B$7*INT(F152*I152/(J152*'تنظیمات'!$B$7)))</f>
        <v/>
      </c>
      <c r="L152" s="10">
        <f>IF(J152=0,0,F152*I152-J152*'تنظیمات'!$B$7*INT(F152*I152/(J152*'تنظیمات'!$B$7)))</f>
        <v/>
      </c>
      <c r="M152" s="10">
        <f>1+COUNTIFS($A$5:$A$265,A152,$L$5:$L$265,"&gt;"&amp;L152)+COUNTIFS($A$5:$A$265,A152,$L$5:$L$265,L152,$D$5:$D$265,"&lt;"&amp;D152)</f>
        <v/>
      </c>
      <c r="N152" s="20">
        <f>IF(J152=0,0,F152-SUMIFS($K$5:$K$265,$A$5:$A$265,A152))</f>
        <v/>
      </c>
      <c r="O152" s="10">
        <f>INT(N152/'تنظیمات'!$B$7)</f>
        <v/>
      </c>
      <c r="P152" s="10">
        <f>N152-O152*'تنظیمات'!$B$7</f>
        <v/>
      </c>
      <c r="Q152" s="20">
        <f>IF(J152=0,0,K152+IF(M152&lt;=O152,'تنظیمات'!$B$7,0)+IF(M152=1,P152,0))</f>
        <v/>
      </c>
      <c r="R152" s="22">
        <f>'سطرهای تسهیم'!F21</f>
        <v/>
      </c>
      <c r="S152" s="22">
        <f>'سطرهای تسهیم'!G21</f>
        <v/>
      </c>
      <c r="T152" s="4">
        <f>IFERROR(INDEX('دسته‌ها'!$D$5:$D$25,MATCH(S152,'دسته‌ها'!$A$5:$A$25,0)),"خیر")</f>
        <v/>
      </c>
    </row>
    <row r="153">
      <c r="A153" s="22">
        <f>'سطرهای تسهیم'!A21</f>
        <v/>
      </c>
      <c r="B153" s="22">
        <f>'سطرهای تسهیم'!B21</f>
        <v/>
      </c>
      <c r="C153" s="22">
        <f>'واحدها'!A9</f>
        <v/>
      </c>
      <c r="D153" s="12">
        <f>'واحدها'!H9</f>
        <v/>
      </c>
      <c r="E153" s="22">
        <f>'سطرهای تسهیم'!D21</f>
        <v/>
      </c>
      <c r="F153" s="19">
        <f>'سطرهای تسهیم'!E21</f>
        <v/>
      </c>
      <c r="G153" s="12">
        <f>IF('واحدها'!F9="بله",'شمول'!F13,0)</f>
        <v/>
      </c>
      <c r="H153" s="10">
        <f>CHOOSE(MATCH(E153,'فهرست‌ها'!$A$4:$A$13,0),1,'واحدها'!E9,'واحدها'!D9*100,'واحدها'!J9,'واحدها'!J9,'وزن‌ها'!F13,'وزن‌ها'!F13,'واحدها'!K9,'واحدها'!L9,0)</f>
        <v/>
      </c>
      <c r="I153" s="10">
        <f>G153*H153</f>
        <v/>
      </c>
      <c r="J153" s="10">
        <f>SUMIFS($I$5:$I$265,$A$5:$A$265,A153)</f>
        <v/>
      </c>
      <c r="K153" s="20">
        <f>IF(J153=0,0,'تنظیمات'!$B$7*INT(F153*I153/(J153*'تنظیمات'!$B$7)))</f>
        <v/>
      </c>
      <c r="L153" s="10">
        <f>IF(J153=0,0,F153*I153-J153*'تنظیمات'!$B$7*INT(F153*I153/(J153*'تنظیمات'!$B$7)))</f>
        <v/>
      </c>
      <c r="M153" s="10">
        <f>1+COUNTIFS($A$5:$A$265,A153,$L$5:$L$265,"&gt;"&amp;L153)+COUNTIFS($A$5:$A$265,A153,$L$5:$L$265,L153,$D$5:$D$265,"&lt;"&amp;D153)</f>
        <v/>
      </c>
      <c r="N153" s="20">
        <f>IF(J153=0,0,F153-SUMIFS($K$5:$K$265,$A$5:$A$265,A153))</f>
        <v/>
      </c>
      <c r="O153" s="10">
        <f>INT(N153/'تنظیمات'!$B$7)</f>
        <v/>
      </c>
      <c r="P153" s="10">
        <f>N153-O153*'تنظیمات'!$B$7</f>
        <v/>
      </c>
      <c r="Q153" s="20">
        <f>IF(J153=0,0,K153+IF(M153&lt;=O153,'تنظیمات'!$B$7,0)+IF(M153=1,P153,0))</f>
        <v/>
      </c>
      <c r="R153" s="22">
        <f>'سطرهای تسهیم'!F21</f>
        <v/>
      </c>
      <c r="S153" s="22">
        <f>'سطرهای تسهیم'!G21</f>
        <v/>
      </c>
      <c r="T153" s="4">
        <f>IFERROR(INDEX('دسته‌ها'!$D$5:$D$25,MATCH(S153,'دسته‌ها'!$A$5:$A$25,0)),"خیر")</f>
        <v/>
      </c>
    </row>
    <row r="154">
      <c r="A154" s="22">
        <f>'سطرهای تسهیم'!A21</f>
        <v/>
      </c>
      <c r="B154" s="22">
        <f>'سطرهای تسهیم'!B21</f>
        <v/>
      </c>
      <c r="C154" s="22">
        <f>'واحدها'!A10</f>
        <v/>
      </c>
      <c r="D154" s="12">
        <f>'واحدها'!H10</f>
        <v/>
      </c>
      <c r="E154" s="22">
        <f>'سطرهای تسهیم'!D21</f>
        <v/>
      </c>
      <c r="F154" s="19">
        <f>'سطرهای تسهیم'!E21</f>
        <v/>
      </c>
      <c r="G154" s="12">
        <f>IF('واحدها'!F10="بله",'شمول'!G13,0)</f>
        <v/>
      </c>
      <c r="H154" s="10">
        <f>CHOOSE(MATCH(E154,'فهرست‌ها'!$A$4:$A$13,0),1,'واحدها'!E10,'واحدها'!D10*100,'واحدها'!J10,'واحدها'!J10,'وزن‌ها'!G13,'وزن‌ها'!G13,'واحدها'!K10,'واحدها'!L10,0)</f>
        <v/>
      </c>
      <c r="I154" s="10">
        <f>G154*H154</f>
        <v/>
      </c>
      <c r="J154" s="10">
        <f>SUMIFS($I$5:$I$265,$A$5:$A$265,A154)</f>
        <v/>
      </c>
      <c r="K154" s="20">
        <f>IF(J154=0,0,'تنظیمات'!$B$7*INT(F154*I154/(J154*'تنظیمات'!$B$7)))</f>
        <v/>
      </c>
      <c r="L154" s="10">
        <f>IF(J154=0,0,F154*I154-J154*'تنظیمات'!$B$7*INT(F154*I154/(J154*'تنظیمات'!$B$7)))</f>
        <v/>
      </c>
      <c r="M154" s="10">
        <f>1+COUNTIFS($A$5:$A$265,A154,$L$5:$L$265,"&gt;"&amp;L154)+COUNTIFS($A$5:$A$265,A154,$L$5:$L$265,L154,$D$5:$D$265,"&lt;"&amp;D154)</f>
        <v/>
      </c>
      <c r="N154" s="20">
        <f>IF(J154=0,0,F154-SUMIFS($K$5:$K$265,$A$5:$A$265,A154))</f>
        <v/>
      </c>
      <c r="O154" s="10">
        <f>INT(N154/'تنظیمات'!$B$7)</f>
        <v/>
      </c>
      <c r="P154" s="10">
        <f>N154-O154*'تنظیمات'!$B$7</f>
        <v/>
      </c>
      <c r="Q154" s="20">
        <f>IF(J154=0,0,K154+IF(M154&lt;=O154,'تنظیمات'!$B$7,0)+IF(M154=1,P154,0))</f>
        <v/>
      </c>
      <c r="R154" s="22">
        <f>'سطرهای تسهیم'!F21</f>
        <v/>
      </c>
      <c r="S154" s="22">
        <f>'سطرهای تسهیم'!G21</f>
        <v/>
      </c>
      <c r="T154" s="4">
        <f>IFERROR(INDEX('دسته‌ها'!$D$5:$D$25,MATCH(S154,'دسته‌ها'!$A$5:$A$25,0)),"خیر")</f>
        <v/>
      </c>
    </row>
    <row r="155">
      <c r="A155" s="22">
        <f>'سطرهای تسهیم'!A21</f>
        <v/>
      </c>
      <c r="B155" s="22">
        <f>'سطرهای تسهیم'!B21</f>
        <v/>
      </c>
      <c r="C155" s="22">
        <f>'واحدها'!A11</f>
        <v/>
      </c>
      <c r="D155" s="12">
        <f>'واحدها'!H11</f>
        <v/>
      </c>
      <c r="E155" s="22">
        <f>'سطرهای تسهیم'!D21</f>
        <v/>
      </c>
      <c r="F155" s="19">
        <f>'سطرهای تسهیم'!E21</f>
        <v/>
      </c>
      <c r="G155" s="12">
        <f>IF('واحدها'!F11="بله",'شمول'!H13,0)</f>
        <v/>
      </c>
      <c r="H155" s="10">
        <f>CHOOSE(MATCH(E155,'فهرست‌ها'!$A$4:$A$13,0),1,'واحدها'!E11,'واحدها'!D11*100,'واحدها'!J11,'واحدها'!J11,'وزن‌ها'!H13,'وزن‌ها'!H13,'واحدها'!K11,'واحدها'!L11,0)</f>
        <v/>
      </c>
      <c r="I155" s="10">
        <f>G155*H155</f>
        <v/>
      </c>
      <c r="J155" s="10">
        <f>SUMIFS($I$5:$I$265,$A$5:$A$265,A155)</f>
        <v/>
      </c>
      <c r="K155" s="20">
        <f>IF(J155=0,0,'تنظیمات'!$B$7*INT(F155*I155/(J155*'تنظیمات'!$B$7)))</f>
        <v/>
      </c>
      <c r="L155" s="10">
        <f>IF(J155=0,0,F155*I155-J155*'تنظیمات'!$B$7*INT(F155*I155/(J155*'تنظیمات'!$B$7)))</f>
        <v/>
      </c>
      <c r="M155" s="10">
        <f>1+COUNTIFS($A$5:$A$265,A155,$L$5:$L$265,"&gt;"&amp;L155)+COUNTIFS($A$5:$A$265,A155,$L$5:$L$265,L155,$D$5:$D$265,"&lt;"&amp;D155)</f>
        <v/>
      </c>
      <c r="N155" s="20">
        <f>IF(J155=0,0,F155-SUMIFS($K$5:$K$265,$A$5:$A$265,A155))</f>
        <v/>
      </c>
      <c r="O155" s="10">
        <f>INT(N155/'تنظیمات'!$B$7)</f>
        <v/>
      </c>
      <c r="P155" s="10">
        <f>N155-O155*'تنظیمات'!$B$7</f>
        <v/>
      </c>
      <c r="Q155" s="20">
        <f>IF(J155=0,0,K155+IF(M155&lt;=O155,'تنظیمات'!$B$7,0)+IF(M155=1,P155,0))</f>
        <v/>
      </c>
      <c r="R155" s="22">
        <f>'سطرهای تسهیم'!F21</f>
        <v/>
      </c>
      <c r="S155" s="22">
        <f>'سطرهای تسهیم'!G21</f>
        <v/>
      </c>
      <c r="T155" s="4">
        <f>IFERROR(INDEX('دسته‌ها'!$D$5:$D$25,MATCH(S155,'دسته‌ها'!$A$5:$A$25,0)),"خیر")</f>
        <v/>
      </c>
    </row>
    <row r="156">
      <c r="A156" s="22">
        <f>'سطرهای تسهیم'!A21</f>
        <v/>
      </c>
      <c r="B156" s="22">
        <f>'سطرهای تسهیم'!B21</f>
        <v/>
      </c>
      <c r="C156" s="22">
        <f>'واحدها'!A12</f>
        <v/>
      </c>
      <c r="D156" s="12">
        <f>'واحدها'!H12</f>
        <v/>
      </c>
      <c r="E156" s="22">
        <f>'سطرهای تسهیم'!D21</f>
        <v/>
      </c>
      <c r="F156" s="19">
        <f>'سطرهای تسهیم'!E21</f>
        <v/>
      </c>
      <c r="G156" s="12">
        <f>IF('واحدها'!F12="بله",'شمول'!I13,0)</f>
        <v/>
      </c>
      <c r="H156" s="10">
        <f>CHOOSE(MATCH(E156,'فهرست‌ها'!$A$4:$A$13,0),1,'واحدها'!E12,'واحدها'!D12*100,'واحدها'!J12,'واحدها'!J12,'وزن‌ها'!I13,'وزن‌ها'!I13,'واحدها'!K12,'واحدها'!L12,0)</f>
        <v/>
      </c>
      <c r="I156" s="10">
        <f>G156*H156</f>
        <v/>
      </c>
      <c r="J156" s="10">
        <f>SUMIFS($I$5:$I$265,$A$5:$A$265,A156)</f>
        <v/>
      </c>
      <c r="K156" s="20">
        <f>IF(J156=0,0,'تنظیمات'!$B$7*INT(F156*I156/(J156*'تنظیمات'!$B$7)))</f>
        <v/>
      </c>
      <c r="L156" s="10">
        <f>IF(J156=0,0,F156*I156-J156*'تنظیمات'!$B$7*INT(F156*I156/(J156*'تنظیمات'!$B$7)))</f>
        <v/>
      </c>
      <c r="M156" s="10">
        <f>1+COUNTIFS($A$5:$A$265,A156,$L$5:$L$265,"&gt;"&amp;L156)+COUNTIFS($A$5:$A$265,A156,$L$5:$L$265,L156,$D$5:$D$265,"&lt;"&amp;D156)</f>
        <v/>
      </c>
      <c r="N156" s="20">
        <f>IF(J156=0,0,F156-SUMIFS($K$5:$K$265,$A$5:$A$265,A156))</f>
        <v/>
      </c>
      <c r="O156" s="10">
        <f>INT(N156/'تنظیمات'!$B$7)</f>
        <v/>
      </c>
      <c r="P156" s="10">
        <f>N156-O156*'تنظیمات'!$B$7</f>
        <v/>
      </c>
      <c r="Q156" s="20">
        <f>IF(J156=0,0,K156+IF(M156&lt;=O156,'تنظیمات'!$B$7,0)+IF(M156=1,P156,0))</f>
        <v/>
      </c>
      <c r="R156" s="22">
        <f>'سطرهای تسهیم'!F21</f>
        <v/>
      </c>
      <c r="S156" s="22">
        <f>'سطرهای تسهیم'!G21</f>
        <v/>
      </c>
      <c r="T156" s="4">
        <f>IFERROR(INDEX('دسته‌ها'!$D$5:$D$25,MATCH(S156,'دسته‌ها'!$A$5:$A$25,0)),"خیر")</f>
        <v/>
      </c>
    </row>
    <row r="157">
      <c r="A157" s="22">
        <f>'سطرهای تسهیم'!A21</f>
        <v/>
      </c>
      <c r="B157" s="22">
        <f>'سطرهای تسهیم'!B21</f>
        <v/>
      </c>
      <c r="C157" s="22">
        <f>'واحدها'!A13</f>
        <v/>
      </c>
      <c r="D157" s="12">
        <f>'واحدها'!H13</f>
        <v/>
      </c>
      <c r="E157" s="22">
        <f>'سطرهای تسهیم'!D21</f>
        <v/>
      </c>
      <c r="F157" s="19">
        <f>'سطرهای تسهیم'!E21</f>
        <v/>
      </c>
      <c r="G157" s="12">
        <f>IF('واحدها'!F13="بله",'شمول'!J13,0)</f>
        <v/>
      </c>
      <c r="H157" s="10">
        <f>CHOOSE(MATCH(E157,'فهرست‌ها'!$A$4:$A$13,0),1,'واحدها'!E13,'واحدها'!D13*100,'واحدها'!J13,'واحدها'!J13,'وزن‌ها'!J13,'وزن‌ها'!J13,'واحدها'!K13,'واحدها'!L13,0)</f>
        <v/>
      </c>
      <c r="I157" s="10">
        <f>G157*H157</f>
        <v/>
      </c>
      <c r="J157" s="10">
        <f>SUMIFS($I$5:$I$265,$A$5:$A$265,A157)</f>
        <v/>
      </c>
      <c r="K157" s="20">
        <f>IF(J157=0,0,'تنظیمات'!$B$7*INT(F157*I157/(J157*'تنظیمات'!$B$7)))</f>
        <v/>
      </c>
      <c r="L157" s="10">
        <f>IF(J157=0,0,F157*I157-J157*'تنظیمات'!$B$7*INT(F157*I157/(J157*'تنظیمات'!$B$7)))</f>
        <v/>
      </c>
      <c r="M157" s="10">
        <f>1+COUNTIFS($A$5:$A$265,A157,$L$5:$L$265,"&gt;"&amp;L157)+COUNTIFS($A$5:$A$265,A157,$L$5:$L$265,L157,$D$5:$D$265,"&lt;"&amp;D157)</f>
        <v/>
      </c>
      <c r="N157" s="20">
        <f>IF(J157=0,0,F157-SUMIFS($K$5:$K$265,$A$5:$A$265,A157))</f>
        <v/>
      </c>
      <c r="O157" s="10">
        <f>INT(N157/'تنظیمات'!$B$7)</f>
        <v/>
      </c>
      <c r="P157" s="10">
        <f>N157-O157*'تنظیمات'!$B$7</f>
        <v/>
      </c>
      <c r="Q157" s="20">
        <f>IF(J157=0,0,K157+IF(M157&lt;=O157,'تنظیمات'!$B$7,0)+IF(M157=1,P157,0))</f>
        <v/>
      </c>
      <c r="R157" s="22">
        <f>'سطرهای تسهیم'!F21</f>
        <v/>
      </c>
      <c r="S157" s="22">
        <f>'سطرهای تسهیم'!G21</f>
        <v/>
      </c>
      <c r="T157" s="4">
        <f>IFERROR(INDEX('دسته‌ها'!$D$5:$D$25,MATCH(S157,'دسته‌ها'!$A$5:$A$25,0)),"خیر")</f>
        <v/>
      </c>
    </row>
    <row r="158">
      <c r="A158" s="22">
        <f>'سطرهای تسهیم'!A22</f>
        <v/>
      </c>
      <c r="B158" s="22">
        <f>'سطرهای تسهیم'!B22</f>
        <v/>
      </c>
      <c r="C158" s="22">
        <f>'واحدها'!A5</f>
        <v/>
      </c>
      <c r="D158" s="12">
        <f>'واحدها'!H5</f>
        <v/>
      </c>
      <c r="E158" s="22">
        <f>'سطرهای تسهیم'!D22</f>
        <v/>
      </c>
      <c r="F158" s="19">
        <f>'سطرهای تسهیم'!E22</f>
        <v/>
      </c>
      <c r="G158" s="12">
        <f>IF('واحدها'!F5="بله",'شمول'!B13,0)</f>
        <v/>
      </c>
      <c r="H158" s="10">
        <f>CHOOSE(MATCH(E158,'فهرست‌ها'!$A$4:$A$13,0),1,'واحدها'!E5,'واحدها'!D5*100,'واحدها'!J5,'واحدها'!J5,'وزن‌ها'!B13,'وزن‌ها'!B13,'واحدها'!K5,'واحدها'!L5,0)</f>
        <v/>
      </c>
      <c r="I158" s="10">
        <f>G158*H158</f>
        <v/>
      </c>
      <c r="J158" s="10">
        <f>SUMIFS($I$5:$I$265,$A$5:$A$265,A158)</f>
        <v/>
      </c>
      <c r="K158" s="20">
        <f>IF(J158=0,0,'تنظیمات'!$B$7*INT(F158*I158/(J158*'تنظیمات'!$B$7)))</f>
        <v/>
      </c>
      <c r="L158" s="10">
        <f>IF(J158=0,0,F158*I158-J158*'تنظیمات'!$B$7*INT(F158*I158/(J158*'تنظیمات'!$B$7)))</f>
        <v/>
      </c>
      <c r="M158" s="10">
        <f>1+COUNTIFS($A$5:$A$265,A158,$L$5:$L$265,"&gt;"&amp;L158)+COUNTIFS($A$5:$A$265,A158,$L$5:$L$265,L158,$D$5:$D$265,"&lt;"&amp;D158)</f>
        <v/>
      </c>
      <c r="N158" s="20">
        <f>IF(J158=0,0,F158-SUMIFS($K$5:$K$265,$A$5:$A$265,A158))</f>
        <v/>
      </c>
      <c r="O158" s="10">
        <f>INT(N158/'تنظیمات'!$B$7)</f>
        <v/>
      </c>
      <c r="P158" s="10">
        <f>N158-O158*'تنظیمات'!$B$7</f>
        <v/>
      </c>
      <c r="Q158" s="20">
        <f>IF(J158=0,0,K158+IF(M158&lt;=O158,'تنظیمات'!$B$7,0)+IF(M158=1,P158,0))</f>
        <v/>
      </c>
      <c r="R158" s="22">
        <f>'سطرهای تسهیم'!F22</f>
        <v/>
      </c>
      <c r="S158" s="22">
        <f>'سطرهای تسهیم'!G22</f>
        <v/>
      </c>
      <c r="T158" s="4">
        <f>IFERROR(INDEX('دسته‌ها'!$D$5:$D$25,MATCH(S158,'دسته‌ها'!$A$5:$A$25,0)),"خیر")</f>
        <v/>
      </c>
    </row>
    <row r="159">
      <c r="A159" s="22">
        <f>'سطرهای تسهیم'!A22</f>
        <v/>
      </c>
      <c r="B159" s="22">
        <f>'سطرهای تسهیم'!B22</f>
        <v/>
      </c>
      <c r="C159" s="22">
        <f>'واحدها'!A6</f>
        <v/>
      </c>
      <c r="D159" s="12">
        <f>'واحدها'!H6</f>
        <v/>
      </c>
      <c r="E159" s="22">
        <f>'سطرهای تسهیم'!D22</f>
        <v/>
      </c>
      <c r="F159" s="19">
        <f>'سطرهای تسهیم'!E22</f>
        <v/>
      </c>
      <c r="G159" s="12">
        <f>IF('واحدها'!F6="بله",'شمول'!C13,0)</f>
        <v/>
      </c>
      <c r="H159" s="10">
        <f>CHOOSE(MATCH(E159,'فهرست‌ها'!$A$4:$A$13,0),1,'واحدها'!E6,'واحدها'!D6*100,'واحدها'!J6,'واحدها'!J6,'وزن‌ها'!C13,'وزن‌ها'!C13,'واحدها'!K6,'واحدها'!L6,0)</f>
        <v/>
      </c>
      <c r="I159" s="10">
        <f>G159*H159</f>
        <v/>
      </c>
      <c r="J159" s="10">
        <f>SUMIFS($I$5:$I$265,$A$5:$A$265,A159)</f>
        <v/>
      </c>
      <c r="K159" s="20">
        <f>IF(J159=0,0,'تنظیمات'!$B$7*INT(F159*I159/(J159*'تنظیمات'!$B$7)))</f>
        <v/>
      </c>
      <c r="L159" s="10">
        <f>IF(J159=0,0,F159*I159-J159*'تنظیمات'!$B$7*INT(F159*I159/(J159*'تنظیمات'!$B$7)))</f>
        <v/>
      </c>
      <c r="M159" s="10">
        <f>1+COUNTIFS($A$5:$A$265,A159,$L$5:$L$265,"&gt;"&amp;L159)+COUNTIFS($A$5:$A$265,A159,$L$5:$L$265,L159,$D$5:$D$265,"&lt;"&amp;D159)</f>
        <v/>
      </c>
      <c r="N159" s="20">
        <f>IF(J159=0,0,F159-SUMIFS($K$5:$K$265,$A$5:$A$265,A159))</f>
        <v/>
      </c>
      <c r="O159" s="10">
        <f>INT(N159/'تنظیمات'!$B$7)</f>
        <v/>
      </c>
      <c r="P159" s="10">
        <f>N159-O159*'تنظیمات'!$B$7</f>
        <v/>
      </c>
      <c r="Q159" s="20">
        <f>IF(J159=0,0,K159+IF(M159&lt;=O159,'تنظیمات'!$B$7,0)+IF(M159=1,P159,0))</f>
        <v/>
      </c>
      <c r="R159" s="22">
        <f>'سطرهای تسهیم'!F22</f>
        <v/>
      </c>
      <c r="S159" s="22">
        <f>'سطرهای تسهیم'!G22</f>
        <v/>
      </c>
      <c r="T159" s="4">
        <f>IFERROR(INDEX('دسته‌ها'!$D$5:$D$25,MATCH(S159,'دسته‌ها'!$A$5:$A$25,0)),"خیر")</f>
        <v/>
      </c>
    </row>
    <row r="160">
      <c r="A160" s="22">
        <f>'سطرهای تسهیم'!A22</f>
        <v/>
      </c>
      <c r="B160" s="22">
        <f>'سطرهای تسهیم'!B22</f>
        <v/>
      </c>
      <c r="C160" s="22">
        <f>'واحدها'!A7</f>
        <v/>
      </c>
      <c r="D160" s="12">
        <f>'واحدها'!H7</f>
        <v/>
      </c>
      <c r="E160" s="22">
        <f>'سطرهای تسهیم'!D22</f>
        <v/>
      </c>
      <c r="F160" s="19">
        <f>'سطرهای تسهیم'!E22</f>
        <v/>
      </c>
      <c r="G160" s="12">
        <f>IF('واحدها'!F7="بله",'شمول'!D13,0)</f>
        <v/>
      </c>
      <c r="H160" s="10">
        <f>CHOOSE(MATCH(E160,'فهرست‌ها'!$A$4:$A$13,0),1,'واحدها'!E7,'واحدها'!D7*100,'واحدها'!J7,'واحدها'!J7,'وزن‌ها'!D13,'وزن‌ها'!D13,'واحدها'!K7,'واحدها'!L7,0)</f>
        <v/>
      </c>
      <c r="I160" s="10">
        <f>G160*H160</f>
        <v/>
      </c>
      <c r="J160" s="10">
        <f>SUMIFS($I$5:$I$265,$A$5:$A$265,A160)</f>
        <v/>
      </c>
      <c r="K160" s="20">
        <f>IF(J160=0,0,'تنظیمات'!$B$7*INT(F160*I160/(J160*'تنظیمات'!$B$7)))</f>
        <v/>
      </c>
      <c r="L160" s="10">
        <f>IF(J160=0,0,F160*I160-J160*'تنظیمات'!$B$7*INT(F160*I160/(J160*'تنظیمات'!$B$7)))</f>
        <v/>
      </c>
      <c r="M160" s="10">
        <f>1+COUNTIFS($A$5:$A$265,A160,$L$5:$L$265,"&gt;"&amp;L160)+COUNTIFS($A$5:$A$265,A160,$L$5:$L$265,L160,$D$5:$D$265,"&lt;"&amp;D160)</f>
        <v/>
      </c>
      <c r="N160" s="20">
        <f>IF(J160=0,0,F160-SUMIFS($K$5:$K$265,$A$5:$A$265,A160))</f>
        <v/>
      </c>
      <c r="O160" s="10">
        <f>INT(N160/'تنظیمات'!$B$7)</f>
        <v/>
      </c>
      <c r="P160" s="10">
        <f>N160-O160*'تنظیمات'!$B$7</f>
        <v/>
      </c>
      <c r="Q160" s="20">
        <f>IF(J160=0,0,K160+IF(M160&lt;=O160,'تنظیمات'!$B$7,0)+IF(M160=1,P160,0))</f>
        <v/>
      </c>
      <c r="R160" s="22">
        <f>'سطرهای تسهیم'!F22</f>
        <v/>
      </c>
      <c r="S160" s="22">
        <f>'سطرهای تسهیم'!G22</f>
        <v/>
      </c>
      <c r="T160" s="4">
        <f>IFERROR(INDEX('دسته‌ها'!$D$5:$D$25,MATCH(S160,'دسته‌ها'!$A$5:$A$25,0)),"خیر")</f>
        <v/>
      </c>
    </row>
    <row r="161">
      <c r="A161" s="22">
        <f>'سطرهای تسهیم'!A22</f>
        <v/>
      </c>
      <c r="B161" s="22">
        <f>'سطرهای تسهیم'!B22</f>
        <v/>
      </c>
      <c r="C161" s="22">
        <f>'واحدها'!A8</f>
        <v/>
      </c>
      <c r="D161" s="12">
        <f>'واحدها'!H8</f>
        <v/>
      </c>
      <c r="E161" s="22">
        <f>'سطرهای تسهیم'!D22</f>
        <v/>
      </c>
      <c r="F161" s="19">
        <f>'سطرهای تسهیم'!E22</f>
        <v/>
      </c>
      <c r="G161" s="12">
        <f>IF('واحدها'!F8="بله",'شمول'!E13,0)</f>
        <v/>
      </c>
      <c r="H161" s="10">
        <f>CHOOSE(MATCH(E161,'فهرست‌ها'!$A$4:$A$13,0),1,'واحدها'!E8,'واحدها'!D8*100,'واحدها'!J8,'واحدها'!J8,'وزن‌ها'!E13,'وزن‌ها'!E13,'واحدها'!K8,'واحدها'!L8,0)</f>
        <v/>
      </c>
      <c r="I161" s="10">
        <f>G161*H161</f>
        <v/>
      </c>
      <c r="J161" s="10">
        <f>SUMIFS($I$5:$I$265,$A$5:$A$265,A161)</f>
        <v/>
      </c>
      <c r="K161" s="20">
        <f>IF(J161=0,0,'تنظیمات'!$B$7*INT(F161*I161/(J161*'تنظیمات'!$B$7)))</f>
        <v/>
      </c>
      <c r="L161" s="10">
        <f>IF(J161=0,0,F161*I161-J161*'تنظیمات'!$B$7*INT(F161*I161/(J161*'تنظیمات'!$B$7)))</f>
        <v/>
      </c>
      <c r="M161" s="10">
        <f>1+COUNTIFS($A$5:$A$265,A161,$L$5:$L$265,"&gt;"&amp;L161)+COUNTIFS($A$5:$A$265,A161,$L$5:$L$265,L161,$D$5:$D$265,"&lt;"&amp;D161)</f>
        <v/>
      </c>
      <c r="N161" s="20">
        <f>IF(J161=0,0,F161-SUMIFS($K$5:$K$265,$A$5:$A$265,A161))</f>
        <v/>
      </c>
      <c r="O161" s="10">
        <f>INT(N161/'تنظیمات'!$B$7)</f>
        <v/>
      </c>
      <c r="P161" s="10">
        <f>N161-O161*'تنظیمات'!$B$7</f>
        <v/>
      </c>
      <c r="Q161" s="20">
        <f>IF(J161=0,0,K161+IF(M161&lt;=O161,'تنظیمات'!$B$7,0)+IF(M161=1,P161,0))</f>
        <v/>
      </c>
      <c r="R161" s="22">
        <f>'سطرهای تسهیم'!F22</f>
        <v/>
      </c>
      <c r="S161" s="22">
        <f>'سطرهای تسهیم'!G22</f>
        <v/>
      </c>
      <c r="T161" s="4">
        <f>IFERROR(INDEX('دسته‌ها'!$D$5:$D$25,MATCH(S161,'دسته‌ها'!$A$5:$A$25,0)),"خیر")</f>
        <v/>
      </c>
    </row>
    <row r="162">
      <c r="A162" s="22">
        <f>'سطرهای تسهیم'!A22</f>
        <v/>
      </c>
      <c r="B162" s="22">
        <f>'سطرهای تسهیم'!B22</f>
        <v/>
      </c>
      <c r="C162" s="22">
        <f>'واحدها'!A9</f>
        <v/>
      </c>
      <c r="D162" s="12">
        <f>'واحدها'!H9</f>
        <v/>
      </c>
      <c r="E162" s="22">
        <f>'سطرهای تسهیم'!D22</f>
        <v/>
      </c>
      <c r="F162" s="19">
        <f>'سطرهای تسهیم'!E22</f>
        <v/>
      </c>
      <c r="G162" s="12">
        <f>IF('واحدها'!F9="بله",'شمول'!F13,0)</f>
        <v/>
      </c>
      <c r="H162" s="10">
        <f>CHOOSE(MATCH(E162,'فهرست‌ها'!$A$4:$A$13,0),1,'واحدها'!E9,'واحدها'!D9*100,'واحدها'!J9,'واحدها'!J9,'وزن‌ها'!F13,'وزن‌ها'!F13,'واحدها'!K9,'واحدها'!L9,0)</f>
        <v/>
      </c>
      <c r="I162" s="10">
        <f>G162*H162</f>
        <v/>
      </c>
      <c r="J162" s="10">
        <f>SUMIFS($I$5:$I$265,$A$5:$A$265,A162)</f>
        <v/>
      </c>
      <c r="K162" s="20">
        <f>IF(J162=0,0,'تنظیمات'!$B$7*INT(F162*I162/(J162*'تنظیمات'!$B$7)))</f>
        <v/>
      </c>
      <c r="L162" s="10">
        <f>IF(J162=0,0,F162*I162-J162*'تنظیمات'!$B$7*INT(F162*I162/(J162*'تنظیمات'!$B$7)))</f>
        <v/>
      </c>
      <c r="M162" s="10">
        <f>1+COUNTIFS($A$5:$A$265,A162,$L$5:$L$265,"&gt;"&amp;L162)+COUNTIFS($A$5:$A$265,A162,$L$5:$L$265,L162,$D$5:$D$265,"&lt;"&amp;D162)</f>
        <v/>
      </c>
      <c r="N162" s="20">
        <f>IF(J162=0,0,F162-SUMIFS($K$5:$K$265,$A$5:$A$265,A162))</f>
        <v/>
      </c>
      <c r="O162" s="10">
        <f>INT(N162/'تنظیمات'!$B$7)</f>
        <v/>
      </c>
      <c r="P162" s="10">
        <f>N162-O162*'تنظیمات'!$B$7</f>
        <v/>
      </c>
      <c r="Q162" s="20">
        <f>IF(J162=0,0,K162+IF(M162&lt;=O162,'تنظیمات'!$B$7,0)+IF(M162=1,P162,0))</f>
        <v/>
      </c>
      <c r="R162" s="22">
        <f>'سطرهای تسهیم'!F22</f>
        <v/>
      </c>
      <c r="S162" s="22">
        <f>'سطرهای تسهیم'!G22</f>
        <v/>
      </c>
      <c r="T162" s="4">
        <f>IFERROR(INDEX('دسته‌ها'!$D$5:$D$25,MATCH(S162,'دسته‌ها'!$A$5:$A$25,0)),"خیر")</f>
        <v/>
      </c>
    </row>
    <row r="163">
      <c r="A163" s="22">
        <f>'سطرهای تسهیم'!A22</f>
        <v/>
      </c>
      <c r="B163" s="22">
        <f>'سطرهای تسهیم'!B22</f>
        <v/>
      </c>
      <c r="C163" s="22">
        <f>'واحدها'!A10</f>
        <v/>
      </c>
      <c r="D163" s="12">
        <f>'واحدها'!H10</f>
        <v/>
      </c>
      <c r="E163" s="22">
        <f>'سطرهای تسهیم'!D22</f>
        <v/>
      </c>
      <c r="F163" s="19">
        <f>'سطرهای تسهیم'!E22</f>
        <v/>
      </c>
      <c r="G163" s="12">
        <f>IF('واحدها'!F10="بله",'شمول'!G13,0)</f>
        <v/>
      </c>
      <c r="H163" s="10">
        <f>CHOOSE(MATCH(E163,'فهرست‌ها'!$A$4:$A$13,0),1,'واحدها'!E10,'واحدها'!D10*100,'واحدها'!J10,'واحدها'!J10,'وزن‌ها'!G13,'وزن‌ها'!G13,'واحدها'!K10,'واحدها'!L10,0)</f>
        <v/>
      </c>
      <c r="I163" s="10">
        <f>G163*H163</f>
        <v/>
      </c>
      <c r="J163" s="10">
        <f>SUMIFS($I$5:$I$265,$A$5:$A$265,A163)</f>
        <v/>
      </c>
      <c r="K163" s="20">
        <f>IF(J163=0,0,'تنظیمات'!$B$7*INT(F163*I163/(J163*'تنظیمات'!$B$7)))</f>
        <v/>
      </c>
      <c r="L163" s="10">
        <f>IF(J163=0,0,F163*I163-J163*'تنظیمات'!$B$7*INT(F163*I163/(J163*'تنظیمات'!$B$7)))</f>
        <v/>
      </c>
      <c r="M163" s="10">
        <f>1+COUNTIFS($A$5:$A$265,A163,$L$5:$L$265,"&gt;"&amp;L163)+COUNTIFS($A$5:$A$265,A163,$L$5:$L$265,L163,$D$5:$D$265,"&lt;"&amp;D163)</f>
        <v/>
      </c>
      <c r="N163" s="20">
        <f>IF(J163=0,0,F163-SUMIFS($K$5:$K$265,$A$5:$A$265,A163))</f>
        <v/>
      </c>
      <c r="O163" s="10">
        <f>INT(N163/'تنظیمات'!$B$7)</f>
        <v/>
      </c>
      <c r="P163" s="10">
        <f>N163-O163*'تنظیمات'!$B$7</f>
        <v/>
      </c>
      <c r="Q163" s="20">
        <f>IF(J163=0,0,K163+IF(M163&lt;=O163,'تنظیمات'!$B$7,0)+IF(M163=1,P163,0))</f>
        <v/>
      </c>
      <c r="R163" s="22">
        <f>'سطرهای تسهیم'!F22</f>
        <v/>
      </c>
      <c r="S163" s="22">
        <f>'سطرهای تسهیم'!G22</f>
        <v/>
      </c>
      <c r="T163" s="4">
        <f>IFERROR(INDEX('دسته‌ها'!$D$5:$D$25,MATCH(S163,'دسته‌ها'!$A$5:$A$25,0)),"خیر")</f>
        <v/>
      </c>
    </row>
    <row r="164">
      <c r="A164" s="22">
        <f>'سطرهای تسهیم'!A22</f>
        <v/>
      </c>
      <c r="B164" s="22">
        <f>'سطرهای تسهیم'!B22</f>
        <v/>
      </c>
      <c r="C164" s="22">
        <f>'واحدها'!A11</f>
        <v/>
      </c>
      <c r="D164" s="12">
        <f>'واحدها'!H11</f>
        <v/>
      </c>
      <c r="E164" s="22">
        <f>'سطرهای تسهیم'!D22</f>
        <v/>
      </c>
      <c r="F164" s="19">
        <f>'سطرهای تسهیم'!E22</f>
        <v/>
      </c>
      <c r="G164" s="12">
        <f>IF('واحدها'!F11="بله",'شمول'!H13,0)</f>
        <v/>
      </c>
      <c r="H164" s="10">
        <f>CHOOSE(MATCH(E164,'فهرست‌ها'!$A$4:$A$13,0),1,'واحدها'!E11,'واحدها'!D11*100,'واحدها'!J11,'واحدها'!J11,'وزن‌ها'!H13,'وزن‌ها'!H13,'واحدها'!K11,'واحدها'!L11,0)</f>
        <v/>
      </c>
      <c r="I164" s="10">
        <f>G164*H164</f>
        <v/>
      </c>
      <c r="J164" s="10">
        <f>SUMIFS($I$5:$I$265,$A$5:$A$265,A164)</f>
        <v/>
      </c>
      <c r="K164" s="20">
        <f>IF(J164=0,0,'تنظیمات'!$B$7*INT(F164*I164/(J164*'تنظیمات'!$B$7)))</f>
        <v/>
      </c>
      <c r="L164" s="10">
        <f>IF(J164=0,0,F164*I164-J164*'تنظیمات'!$B$7*INT(F164*I164/(J164*'تنظیمات'!$B$7)))</f>
        <v/>
      </c>
      <c r="M164" s="10">
        <f>1+COUNTIFS($A$5:$A$265,A164,$L$5:$L$265,"&gt;"&amp;L164)+COUNTIFS($A$5:$A$265,A164,$L$5:$L$265,L164,$D$5:$D$265,"&lt;"&amp;D164)</f>
        <v/>
      </c>
      <c r="N164" s="20">
        <f>IF(J164=0,0,F164-SUMIFS($K$5:$K$265,$A$5:$A$265,A164))</f>
        <v/>
      </c>
      <c r="O164" s="10">
        <f>INT(N164/'تنظیمات'!$B$7)</f>
        <v/>
      </c>
      <c r="P164" s="10">
        <f>N164-O164*'تنظیمات'!$B$7</f>
        <v/>
      </c>
      <c r="Q164" s="20">
        <f>IF(J164=0,0,K164+IF(M164&lt;=O164,'تنظیمات'!$B$7,0)+IF(M164=1,P164,0))</f>
        <v/>
      </c>
      <c r="R164" s="22">
        <f>'سطرهای تسهیم'!F22</f>
        <v/>
      </c>
      <c r="S164" s="22">
        <f>'سطرهای تسهیم'!G22</f>
        <v/>
      </c>
      <c r="T164" s="4">
        <f>IFERROR(INDEX('دسته‌ها'!$D$5:$D$25,MATCH(S164,'دسته‌ها'!$A$5:$A$25,0)),"خیر")</f>
        <v/>
      </c>
    </row>
    <row r="165">
      <c r="A165" s="22">
        <f>'سطرهای تسهیم'!A22</f>
        <v/>
      </c>
      <c r="B165" s="22">
        <f>'سطرهای تسهیم'!B22</f>
        <v/>
      </c>
      <c r="C165" s="22">
        <f>'واحدها'!A12</f>
        <v/>
      </c>
      <c r="D165" s="12">
        <f>'واحدها'!H12</f>
        <v/>
      </c>
      <c r="E165" s="22">
        <f>'سطرهای تسهیم'!D22</f>
        <v/>
      </c>
      <c r="F165" s="19">
        <f>'سطرهای تسهیم'!E22</f>
        <v/>
      </c>
      <c r="G165" s="12">
        <f>IF('واحدها'!F12="بله",'شمول'!I13,0)</f>
        <v/>
      </c>
      <c r="H165" s="10">
        <f>CHOOSE(MATCH(E165,'فهرست‌ها'!$A$4:$A$13,0),1,'واحدها'!E12,'واحدها'!D12*100,'واحدها'!J12,'واحدها'!J12,'وزن‌ها'!I13,'وزن‌ها'!I13,'واحدها'!K12,'واحدها'!L12,0)</f>
        <v/>
      </c>
      <c r="I165" s="10">
        <f>G165*H165</f>
        <v/>
      </c>
      <c r="J165" s="10">
        <f>SUMIFS($I$5:$I$265,$A$5:$A$265,A165)</f>
        <v/>
      </c>
      <c r="K165" s="20">
        <f>IF(J165=0,0,'تنظیمات'!$B$7*INT(F165*I165/(J165*'تنظیمات'!$B$7)))</f>
        <v/>
      </c>
      <c r="L165" s="10">
        <f>IF(J165=0,0,F165*I165-J165*'تنظیمات'!$B$7*INT(F165*I165/(J165*'تنظیمات'!$B$7)))</f>
        <v/>
      </c>
      <c r="M165" s="10">
        <f>1+COUNTIFS($A$5:$A$265,A165,$L$5:$L$265,"&gt;"&amp;L165)+COUNTIFS($A$5:$A$265,A165,$L$5:$L$265,L165,$D$5:$D$265,"&lt;"&amp;D165)</f>
        <v/>
      </c>
      <c r="N165" s="20">
        <f>IF(J165=0,0,F165-SUMIFS($K$5:$K$265,$A$5:$A$265,A165))</f>
        <v/>
      </c>
      <c r="O165" s="10">
        <f>INT(N165/'تنظیمات'!$B$7)</f>
        <v/>
      </c>
      <c r="P165" s="10">
        <f>N165-O165*'تنظیمات'!$B$7</f>
        <v/>
      </c>
      <c r="Q165" s="20">
        <f>IF(J165=0,0,K165+IF(M165&lt;=O165,'تنظیمات'!$B$7,0)+IF(M165=1,P165,0))</f>
        <v/>
      </c>
      <c r="R165" s="22">
        <f>'سطرهای تسهیم'!F22</f>
        <v/>
      </c>
      <c r="S165" s="22">
        <f>'سطرهای تسهیم'!G22</f>
        <v/>
      </c>
      <c r="T165" s="4">
        <f>IFERROR(INDEX('دسته‌ها'!$D$5:$D$25,MATCH(S165,'دسته‌ها'!$A$5:$A$25,0)),"خیر")</f>
        <v/>
      </c>
    </row>
    <row r="166">
      <c r="A166" s="22">
        <f>'سطرهای تسهیم'!A22</f>
        <v/>
      </c>
      <c r="B166" s="22">
        <f>'سطرهای تسهیم'!B22</f>
        <v/>
      </c>
      <c r="C166" s="22">
        <f>'واحدها'!A13</f>
        <v/>
      </c>
      <c r="D166" s="12">
        <f>'واحدها'!H13</f>
        <v/>
      </c>
      <c r="E166" s="22">
        <f>'سطرهای تسهیم'!D22</f>
        <v/>
      </c>
      <c r="F166" s="19">
        <f>'سطرهای تسهیم'!E22</f>
        <v/>
      </c>
      <c r="G166" s="12">
        <f>IF('واحدها'!F13="بله",'شمول'!J13,0)</f>
        <v/>
      </c>
      <c r="H166" s="10">
        <f>CHOOSE(MATCH(E166,'فهرست‌ها'!$A$4:$A$13,0),1,'واحدها'!E13,'واحدها'!D13*100,'واحدها'!J13,'واحدها'!J13,'وزن‌ها'!J13,'وزن‌ها'!J13,'واحدها'!K13,'واحدها'!L13,0)</f>
        <v/>
      </c>
      <c r="I166" s="10">
        <f>G166*H166</f>
        <v/>
      </c>
      <c r="J166" s="10">
        <f>SUMIFS($I$5:$I$265,$A$5:$A$265,A166)</f>
        <v/>
      </c>
      <c r="K166" s="20">
        <f>IF(J166=0,0,'تنظیمات'!$B$7*INT(F166*I166/(J166*'تنظیمات'!$B$7)))</f>
        <v/>
      </c>
      <c r="L166" s="10">
        <f>IF(J166=0,0,F166*I166-J166*'تنظیمات'!$B$7*INT(F166*I166/(J166*'تنظیمات'!$B$7)))</f>
        <v/>
      </c>
      <c r="M166" s="10">
        <f>1+COUNTIFS($A$5:$A$265,A166,$L$5:$L$265,"&gt;"&amp;L166)+COUNTIFS($A$5:$A$265,A166,$L$5:$L$265,L166,$D$5:$D$265,"&lt;"&amp;D166)</f>
        <v/>
      </c>
      <c r="N166" s="20">
        <f>IF(J166=0,0,F166-SUMIFS($K$5:$K$265,$A$5:$A$265,A166))</f>
        <v/>
      </c>
      <c r="O166" s="10">
        <f>INT(N166/'تنظیمات'!$B$7)</f>
        <v/>
      </c>
      <c r="P166" s="10">
        <f>N166-O166*'تنظیمات'!$B$7</f>
        <v/>
      </c>
      <c r="Q166" s="20">
        <f>IF(J166=0,0,K166+IF(M166&lt;=O166,'تنظیمات'!$B$7,0)+IF(M166=1,P166,0))</f>
        <v/>
      </c>
      <c r="R166" s="22">
        <f>'سطرهای تسهیم'!F22</f>
        <v/>
      </c>
      <c r="S166" s="22">
        <f>'سطرهای تسهیم'!G22</f>
        <v/>
      </c>
      <c r="T166" s="4">
        <f>IFERROR(INDEX('دسته‌ها'!$D$5:$D$25,MATCH(S166,'دسته‌ها'!$A$5:$A$25,0)),"خیر")</f>
        <v/>
      </c>
    </row>
    <row r="167">
      <c r="A167" s="22">
        <f>'سطرهای تسهیم'!A23</f>
        <v/>
      </c>
      <c r="B167" s="22">
        <f>'سطرهای تسهیم'!B23</f>
        <v/>
      </c>
      <c r="C167" s="22">
        <f>'واحدها'!A5</f>
        <v/>
      </c>
      <c r="D167" s="12">
        <f>'واحدها'!H5</f>
        <v/>
      </c>
      <c r="E167" s="22">
        <f>'سطرهای تسهیم'!D23</f>
        <v/>
      </c>
      <c r="F167" s="19">
        <f>'سطرهای تسهیم'!E23</f>
        <v/>
      </c>
      <c r="G167" s="12">
        <f>IF('واحدها'!F5="بله",'شمول'!B14,0)</f>
        <v/>
      </c>
      <c r="H167" s="10">
        <f>CHOOSE(MATCH(E167,'فهرست‌ها'!$A$4:$A$13,0),1,'واحدها'!E5,'واحدها'!D5*100,'واحدها'!J5,'واحدها'!J5,'وزن‌ها'!B14,'وزن‌ها'!B14,'واحدها'!K5,'واحدها'!L5,0)</f>
        <v/>
      </c>
      <c r="I167" s="10">
        <f>G167*H167</f>
        <v/>
      </c>
      <c r="J167" s="10">
        <f>SUMIFS($I$5:$I$265,$A$5:$A$265,A167)</f>
        <v/>
      </c>
      <c r="K167" s="20">
        <f>IF(J167=0,0,'تنظیمات'!$B$7*INT(F167*I167/(J167*'تنظیمات'!$B$7)))</f>
        <v/>
      </c>
      <c r="L167" s="10">
        <f>IF(J167=0,0,F167*I167-J167*'تنظیمات'!$B$7*INT(F167*I167/(J167*'تنظیمات'!$B$7)))</f>
        <v/>
      </c>
      <c r="M167" s="10">
        <f>1+COUNTIFS($A$5:$A$265,A167,$L$5:$L$265,"&gt;"&amp;L167)+COUNTIFS($A$5:$A$265,A167,$L$5:$L$265,L167,$D$5:$D$265,"&lt;"&amp;D167)</f>
        <v/>
      </c>
      <c r="N167" s="20">
        <f>IF(J167=0,0,F167-SUMIFS($K$5:$K$265,$A$5:$A$265,A167))</f>
        <v/>
      </c>
      <c r="O167" s="10">
        <f>INT(N167/'تنظیمات'!$B$7)</f>
        <v/>
      </c>
      <c r="P167" s="10">
        <f>N167-O167*'تنظیمات'!$B$7</f>
        <v/>
      </c>
      <c r="Q167" s="20">
        <f>IF(J167=0,0,K167+IF(M167&lt;=O167,'تنظیمات'!$B$7,0)+IF(M167=1,P167,0))</f>
        <v/>
      </c>
      <c r="R167" s="22">
        <f>'سطرهای تسهیم'!F23</f>
        <v/>
      </c>
      <c r="S167" s="22">
        <f>'سطرهای تسهیم'!G23</f>
        <v/>
      </c>
      <c r="T167" s="4">
        <f>IFERROR(INDEX('دسته‌ها'!$D$5:$D$25,MATCH(S167,'دسته‌ها'!$A$5:$A$25,0)),"خیر")</f>
        <v/>
      </c>
    </row>
    <row r="168">
      <c r="A168" s="22">
        <f>'سطرهای تسهیم'!A23</f>
        <v/>
      </c>
      <c r="B168" s="22">
        <f>'سطرهای تسهیم'!B23</f>
        <v/>
      </c>
      <c r="C168" s="22">
        <f>'واحدها'!A6</f>
        <v/>
      </c>
      <c r="D168" s="12">
        <f>'واحدها'!H6</f>
        <v/>
      </c>
      <c r="E168" s="22">
        <f>'سطرهای تسهیم'!D23</f>
        <v/>
      </c>
      <c r="F168" s="19">
        <f>'سطرهای تسهیم'!E23</f>
        <v/>
      </c>
      <c r="G168" s="12">
        <f>IF('واحدها'!F6="بله",'شمول'!C14,0)</f>
        <v/>
      </c>
      <c r="H168" s="10">
        <f>CHOOSE(MATCH(E168,'فهرست‌ها'!$A$4:$A$13,0),1,'واحدها'!E6,'واحدها'!D6*100,'واحدها'!J6,'واحدها'!J6,'وزن‌ها'!C14,'وزن‌ها'!C14,'واحدها'!K6,'واحدها'!L6,0)</f>
        <v/>
      </c>
      <c r="I168" s="10">
        <f>G168*H168</f>
        <v/>
      </c>
      <c r="J168" s="10">
        <f>SUMIFS($I$5:$I$265,$A$5:$A$265,A168)</f>
        <v/>
      </c>
      <c r="K168" s="20">
        <f>IF(J168=0,0,'تنظیمات'!$B$7*INT(F168*I168/(J168*'تنظیمات'!$B$7)))</f>
        <v/>
      </c>
      <c r="L168" s="10">
        <f>IF(J168=0,0,F168*I168-J168*'تنظیمات'!$B$7*INT(F168*I168/(J168*'تنظیمات'!$B$7)))</f>
        <v/>
      </c>
      <c r="M168" s="10">
        <f>1+COUNTIFS($A$5:$A$265,A168,$L$5:$L$265,"&gt;"&amp;L168)+COUNTIFS($A$5:$A$265,A168,$L$5:$L$265,L168,$D$5:$D$265,"&lt;"&amp;D168)</f>
        <v/>
      </c>
      <c r="N168" s="20">
        <f>IF(J168=0,0,F168-SUMIFS($K$5:$K$265,$A$5:$A$265,A168))</f>
        <v/>
      </c>
      <c r="O168" s="10">
        <f>INT(N168/'تنظیمات'!$B$7)</f>
        <v/>
      </c>
      <c r="P168" s="10">
        <f>N168-O168*'تنظیمات'!$B$7</f>
        <v/>
      </c>
      <c r="Q168" s="20">
        <f>IF(J168=0,0,K168+IF(M168&lt;=O168,'تنظیمات'!$B$7,0)+IF(M168=1,P168,0))</f>
        <v/>
      </c>
      <c r="R168" s="22">
        <f>'سطرهای تسهیم'!F23</f>
        <v/>
      </c>
      <c r="S168" s="22">
        <f>'سطرهای تسهیم'!G23</f>
        <v/>
      </c>
      <c r="T168" s="4">
        <f>IFERROR(INDEX('دسته‌ها'!$D$5:$D$25,MATCH(S168,'دسته‌ها'!$A$5:$A$25,0)),"خیر")</f>
        <v/>
      </c>
    </row>
    <row r="169">
      <c r="A169" s="22">
        <f>'سطرهای تسهیم'!A23</f>
        <v/>
      </c>
      <c r="B169" s="22">
        <f>'سطرهای تسهیم'!B23</f>
        <v/>
      </c>
      <c r="C169" s="22">
        <f>'واحدها'!A7</f>
        <v/>
      </c>
      <c r="D169" s="12">
        <f>'واحدها'!H7</f>
        <v/>
      </c>
      <c r="E169" s="22">
        <f>'سطرهای تسهیم'!D23</f>
        <v/>
      </c>
      <c r="F169" s="19">
        <f>'سطرهای تسهیم'!E23</f>
        <v/>
      </c>
      <c r="G169" s="12">
        <f>IF('واحدها'!F7="بله",'شمول'!D14,0)</f>
        <v/>
      </c>
      <c r="H169" s="10">
        <f>CHOOSE(MATCH(E169,'فهرست‌ها'!$A$4:$A$13,0),1,'واحدها'!E7,'واحدها'!D7*100,'واحدها'!J7,'واحدها'!J7,'وزن‌ها'!D14,'وزن‌ها'!D14,'واحدها'!K7,'واحدها'!L7,0)</f>
        <v/>
      </c>
      <c r="I169" s="10">
        <f>G169*H169</f>
        <v/>
      </c>
      <c r="J169" s="10">
        <f>SUMIFS($I$5:$I$265,$A$5:$A$265,A169)</f>
        <v/>
      </c>
      <c r="K169" s="20">
        <f>IF(J169=0,0,'تنظیمات'!$B$7*INT(F169*I169/(J169*'تنظیمات'!$B$7)))</f>
        <v/>
      </c>
      <c r="L169" s="10">
        <f>IF(J169=0,0,F169*I169-J169*'تنظیمات'!$B$7*INT(F169*I169/(J169*'تنظیمات'!$B$7)))</f>
        <v/>
      </c>
      <c r="M169" s="10">
        <f>1+COUNTIFS($A$5:$A$265,A169,$L$5:$L$265,"&gt;"&amp;L169)+COUNTIFS($A$5:$A$265,A169,$L$5:$L$265,L169,$D$5:$D$265,"&lt;"&amp;D169)</f>
        <v/>
      </c>
      <c r="N169" s="20">
        <f>IF(J169=0,0,F169-SUMIFS($K$5:$K$265,$A$5:$A$265,A169))</f>
        <v/>
      </c>
      <c r="O169" s="10">
        <f>INT(N169/'تنظیمات'!$B$7)</f>
        <v/>
      </c>
      <c r="P169" s="10">
        <f>N169-O169*'تنظیمات'!$B$7</f>
        <v/>
      </c>
      <c r="Q169" s="20">
        <f>IF(J169=0,0,K169+IF(M169&lt;=O169,'تنظیمات'!$B$7,0)+IF(M169=1,P169,0))</f>
        <v/>
      </c>
      <c r="R169" s="22">
        <f>'سطرهای تسهیم'!F23</f>
        <v/>
      </c>
      <c r="S169" s="22">
        <f>'سطرهای تسهیم'!G23</f>
        <v/>
      </c>
      <c r="T169" s="4">
        <f>IFERROR(INDEX('دسته‌ها'!$D$5:$D$25,MATCH(S169,'دسته‌ها'!$A$5:$A$25,0)),"خیر")</f>
        <v/>
      </c>
    </row>
    <row r="170">
      <c r="A170" s="22">
        <f>'سطرهای تسهیم'!A23</f>
        <v/>
      </c>
      <c r="B170" s="22">
        <f>'سطرهای تسهیم'!B23</f>
        <v/>
      </c>
      <c r="C170" s="22">
        <f>'واحدها'!A8</f>
        <v/>
      </c>
      <c r="D170" s="12">
        <f>'واحدها'!H8</f>
        <v/>
      </c>
      <c r="E170" s="22">
        <f>'سطرهای تسهیم'!D23</f>
        <v/>
      </c>
      <c r="F170" s="19">
        <f>'سطرهای تسهیم'!E23</f>
        <v/>
      </c>
      <c r="G170" s="12">
        <f>IF('واحدها'!F8="بله",'شمول'!E14,0)</f>
        <v/>
      </c>
      <c r="H170" s="10">
        <f>CHOOSE(MATCH(E170,'فهرست‌ها'!$A$4:$A$13,0),1,'واحدها'!E8,'واحدها'!D8*100,'واحدها'!J8,'واحدها'!J8,'وزن‌ها'!E14,'وزن‌ها'!E14,'واحدها'!K8,'واحدها'!L8,0)</f>
        <v/>
      </c>
      <c r="I170" s="10">
        <f>G170*H170</f>
        <v/>
      </c>
      <c r="J170" s="10">
        <f>SUMIFS($I$5:$I$265,$A$5:$A$265,A170)</f>
        <v/>
      </c>
      <c r="K170" s="20">
        <f>IF(J170=0,0,'تنظیمات'!$B$7*INT(F170*I170/(J170*'تنظیمات'!$B$7)))</f>
        <v/>
      </c>
      <c r="L170" s="10">
        <f>IF(J170=0,0,F170*I170-J170*'تنظیمات'!$B$7*INT(F170*I170/(J170*'تنظیمات'!$B$7)))</f>
        <v/>
      </c>
      <c r="M170" s="10">
        <f>1+COUNTIFS($A$5:$A$265,A170,$L$5:$L$265,"&gt;"&amp;L170)+COUNTIFS($A$5:$A$265,A170,$L$5:$L$265,L170,$D$5:$D$265,"&lt;"&amp;D170)</f>
        <v/>
      </c>
      <c r="N170" s="20">
        <f>IF(J170=0,0,F170-SUMIFS($K$5:$K$265,$A$5:$A$265,A170))</f>
        <v/>
      </c>
      <c r="O170" s="10">
        <f>INT(N170/'تنظیمات'!$B$7)</f>
        <v/>
      </c>
      <c r="P170" s="10">
        <f>N170-O170*'تنظیمات'!$B$7</f>
        <v/>
      </c>
      <c r="Q170" s="20">
        <f>IF(J170=0,0,K170+IF(M170&lt;=O170,'تنظیمات'!$B$7,0)+IF(M170=1,P170,0))</f>
        <v/>
      </c>
      <c r="R170" s="22">
        <f>'سطرهای تسهیم'!F23</f>
        <v/>
      </c>
      <c r="S170" s="22">
        <f>'سطرهای تسهیم'!G23</f>
        <v/>
      </c>
      <c r="T170" s="4">
        <f>IFERROR(INDEX('دسته‌ها'!$D$5:$D$25,MATCH(S170,'دسته‌ها'!$A$5:$A$25,0)),"خیر")</f>
        <v/>
      </c>
    </row>
    <row r="171">
      <c r="A171" s="22">
        <f>'سطرهای تسهیم'!A23</f>
        <v/>
      </c>
      <c r="B171" s="22">
        <f>'سطرهای تسهیم'!B23</f>
        <v/>
      </c>
      <c r="C171" s="22">
        <f>'واحدها'!A9</f>
        <v/>
      </c>
      <c r="D171" s="12">
        <f>'واحدها'!H9</f>
        <v/>
      </c>
      <c r="E171" s="22">
        <f>'سطرهای تسهیم'!D23</f>
        <v/>
      </c>
      <c r="F171" s="19">
        <f>'سطرهای تسهیم'!E23</f>
        <v/>
      </c>
      <c r="G171" s="12">
        <f>IF('واحدها'!F9="بله",'شمول'!F14,0)</f>
        <v/>
      </c>
      <c r="H171" s="10">
        <f>CHOOSE(MATCH(E171,'فهرست‌ها'!$A$4:$A$13,0),1,'واحدها'!E9,'واحدها'!D9*100,'واحدها'!J9,'واحدها'!J9,'وزن‌ها'!F14,'وزن‌ها'!F14,'واحدها'!K9,'واحدها'!L9,0)</f>
        <v/>
      </c>
      <c r="I171" s="10">
        <f>G171*H171</f>
        <v/>
      </c>
      <c r="J171" s="10">
        <f>SUMIFS($I$5:$I$265,$A$5:$A$265,A171)</f>
        <v/>
      </c>
      <c r="K171" s="20">
        <f>IF(J171=0,0,'تنظیمات'!$B$7*INT(F171*I171/(J171*'تنظیمات'!$B$7)))</f>
        <v/>
      </c>
      <c r="L171" s="10">
        <f>IF(J171=0,0,F171*I171-J171*'تنظیمات'!$B$7*INT(F171*I171/(J171*'تنظیمات'!$B$7)))</f>
        <v/>
      </c>
      <c r="M171" s="10">
        <f>1+COUNTIFS($A$5:$A$265,A171,$L$5:$L$265,"&gt;"&amp;L171)+COUNTIFS($A$5:$A$265,A171,$L$5:$L$265,L171,$D$5:$D$265,"&lt;"&amp;D171)</f>
        <v/>
      </c>
      <c r="N171" s="20">
        <f>IF(J171=0,0,F171-SUMIFS($K$5:$K$265,$A$5:$A$265,A171))</f>
        <v/>
      </c>
      <c r="O171" s="10">
        <f>INT(N171/'تنظیمات'!$B$7)</f>
        <v/>
      </c>
      <c r="P171" s="10">
        <f>N171-O171*'تنظیمات'!$B$7</f>
        <v/>
      </c>
      <c r="Q171" s="20">
        <f>IF(J171=0,0,K171+IF(M171&lt;=O171,'تنظیمات'!$B$7,0)+IF(M171=1,P171,0))</f>
        <v/>
      </c>
      <c r="R171" s="22">
        <f>'سطرهای تسهیم'!F23</f>
        <v/>
      </c>
      <c r="S171" s="22">
        <f>'سطرهای تسهیم'!G23</f>
        <v/>
      </c>
      <c r="T171" s="4">
        <f>IFERROR(INDEX('دسته‌ها'!$D$5:$D$25,MATCH(S171,'دسته‌ها'!$A$5:$A$25,0)),"خیر")</f>
        <v/>
      </c>
    </row>
    <row r="172">
      <c r="A172" s="22">
        <f>'سطرهای تسهیم'!A23</f>
        <v/>
      </c>
      <c r="B172" s="22">
        <f>'سطرهای تسهیم'!B23</f>
        <v/>
      </c>
      <c r="C172" s="22">
        <f>'واحدها'!A10</f>
        <v/>
      </c>
      <c r="D172" s="12">
        <f>'واحدها'!H10</f>
        <v/>
      </c>
      <c r="E172" s="22">
        <f>'سطرهای تسهیم'!D23</f>
        <v/>
      </c>
      <c r="F172" s="19">
        <f>'سطرهای تسهیم'!E23</f>
        <v/>
      </c>
      <c r="G172" s="12">
        <f>IF('واحدها'!F10="بله",'شمول'!G14,0)</f>
        <v/>
      </c>
      <c r="H172" s="10">
        <f>CHOOSE(MATCH(E172,'فهرست‌ها'!$A$4:$A$13,0),1,'واحدها'!E10,'واحدها'!D10*100,'واحدها'!J10,'واحدها'!J10,'وزن‌ها'!G14,'وزن‌ها'!G14,'واحدها'!K10,'واحدها'!L10,0)</f>
        <v/>
      </c>
      <c r="I172" s="10">
        <f>G172*H172</f>
        <v/>
      </c>
      <c r="J172" s="10">
        <f>SUMIFS($I$5:$I$265,$A$5:$A$265,A172)</f>
        <v/>
      </c>
      <c r="K172" s="20">
        <f>IF(J172=0,0,'تنظیمات'!$B$7*INT(F172*I172/(J172*'تنظیمات'!$B$7)))</f>
        <v/>
      </c>
      <c r="L172" s="10">
        <f>IF(J172=0,0,F172*I172-J172*'تنظیمات'!$B$7*INT(F172*I172/(J172*'تنظیمات'!$B$7)))</f>
        <v/>
      </c>
      <c r="M172" s="10">
        <f>1+COUNTIFS($A$5:$A$265,A172,$L$5:$L$265,"&gt;"&amp;L172)+COUNTIFS($A$5:$A$265,A172,$L$5:$L$265,L172,$D$5:$D$265,"&lt;"&amp;D172)</f>
        <v/>
      </c>
      <c r="N172" s="20">
        <f>IF(J172=0,0,F172-SUMIFS($K$5:$K$265,$A$5:$A$265,A172))</f>
        <v/>
      </c>
      <c r="O172" s="10">
        <f>INT(N172/'تنظیمات'!$B$7)</f>
        <v/>
      </c>
      <c r="P172" s="10">
        <f>N172-O172*'تنظیمات'!$B$7</f>
        <v/>
      </c>
      <c r="Q172" s="20">
        <f>IF(J172=0,0,K172+IF(M172&lt;=O172,'تنظیمات'!$B$7,0)+IF(M172=1,P172,0))</f>
        <v/>
      </c>
      <c r="R172" s="22">
        <f>'سطرهای تسهیم'!F23</f>
        <v/>
      </c>
      <c r="S172" s="22">
        <f>'سطرهای تسهیم'!G23</f>
        <v/>
      </c>
      <c r="T172" s="4">
        <f>IFERROR(INDEX('دسته‌ها'!$D$5:$D$25,MATCH(S172,'دسته‌ها'!$A$5:$A$25,0)),"خیر")</f>
        <v/>
      </c>
    </row>
    <row r="173">
      <c r="A173" s="22">
        <f>'سطرهای تسهیم'!A23</f>
        <v/>
      </c>
      <c r="B173" s="22">
        <f>'سطرهای تسهیم'!B23</f>
        <v/>
      </c>
      <c r="C173" s="22">
        <f>'واحدها'!A11</f>
        <v/>
      </c>
      <c r="D173" s="12">
        <f>'واحدها'!H11</f>
        <v/>
      </c>
      <c r="E173" s="22">
        <f>'سطرهای تسهیم'!D23</f>
        <v/>
      </c>
      <c r="F173" s="19">
        <f>'سطرهای تسهیم'!E23</f>
        <v/>
      </c>
      <c r="G173" s="12">
        <f>IF('واحدها'!F11="بله",'شمول'!H14,0)</f>
        <v/>
      </c>
      <c r="H173" s="10">
        <f>CHOOSE(MATCH(E173,'فهرست‌ها'!$A$4:$A$13,0),1,'واحدها'!E11,'واحدها'!D11*100,'واحدها'!J11,'واحدها'!J11,'وزن‌ها'!H14,'وزن‌ها'!H14,'واحدها'!K11,'واحدها'!L11,0)</f>
        <v/>
      </c>
      <c r="I173" s="10">
        <f>G173*H173</f>
        <v/>
      </c>
      <c r="J173" s="10">
        <f>SUMIFS($I$5:$I$265,$A$5:$A$265,A173)</f>
        <v/>
      </c>
      <c r="K173" s="20">
        <f>IF(J173=0,0,'تنظیمات'!$B$7*INT(F173*I173/(J173*'تنظیمات'!$B$7)))</f>
        <v/>
      </c>
      <c r="L173" s="10">
        <f>IF(J173=0,0,F173*I173-J173*'تنظیمات'!$B$7*INT(F173*I173/(J173*'تنظیمات'!$B$7)))</f>
        <v/>
      </c>
      <c r="M173" s="10">
        <f>1+COUNTIFS($A$5:$A$265,A173,$L$5:$L$265,"&gt;"&amp;L173)+COUNTIFS($A$5:$A$265,A173,$L$5:$L$265,L173,$D$5:$D$265,"&lt;"&amp;D173)</f>
        <v/>
      </c>
      <c r="N173" s="20">
        <f>IF(J173=0,0,F173-SUMIFS($K$5:$K$265,$A$5:$A$265,A173))</f>
        <v/>
      </c>
      <c r="O173" s="10">
        <f>INT(N173/'تنظیمات'!$B$7)</f>
        <v/>
      </c>
      <c r="P173" s="10">
        <f>N173-O173*'تنظیمات'!$B$7</f>
        <v/>
      </c>
      <c r="Q173" s="20">
        <f>IF(J173=0,0,K173+IF(M173&lt;=O173,'تنظیمات'!$B$7,0)+IF(M173=1,P173,0))</f>
        <v/>
      </c>
      <c r="R173" s="22">
        <f>'سطرهای تسهیم'!F23</f>
        <v/>
      </c>
      <c r="S173" s="22">
        <f>'سطرهای تسهیم'!G23</f>
        <v/>
      </c>
      <c r="T173" s="4">
        <f>IFERROR(INDEX('دسته‌ها'!$D$5:$D$25,MATCH(S173,'دسته‌ها'!$A$5:$A$25,0)),"خیر")</f>
        <v/>
      </c>
    </row>
    <row r="174">
      <c r="A174" s="22">
        <f>'سطرهای تسهیم'!A23</f>
        <v/>
      </c>
      <c r="B174" s="22">
        <f>'سطرهای تسهیم'!B23</f>
        <v/>
      </c>
      <c r="C174" s="22">
        <f>'واحدها'!A12</f>
        <v/>
      </c>
      <c r="D174" s="12">
        <f>'واحدها'!H12</f>
        <v/>
      </c>
      <c r="E174" s="22">
        <f>'سطرهای تسهیم'!D23</f>
        <v/>
      </c>
      <c r="F174" s="19">
        <f>'سطرهای تسهیم'!E23</f>
        <v/>
      </c>
      <c r="G174" s="12">
        <f>IF('واحدها'!F12="بله",'شمول'!I14,0)</f>
        <v/>
      </c>
      <c r="H174" s="10">
        <f>CHOOSE(MATCH(E174,'فهرست‌ها'!$A$4:$A$13,0),1,'واحدها'!E12,'واحدها'!D12*100,'واحدها'!J12,'واحدها'!J12,'وزن‌ها'!I14,'وزن‌ها'!I14,'واحدها'!K12,'واحدها'!L12,0)</f>
        <v/>
      </c>
      <c r="I174" s="10">
        <f>G174*H174</f>
        <v/>
      </c>
      <c r="J174" s="10">
        <f>SUMIFS($I$5:$I$265,$A$5:$A$265,A174)</f>
        <v/>
      </c>
      <c r="K174" s="20">
        <f>IF(J174=0,0,'تنظیمات'!$B$7*INT(F174*I174/(J174*'تنظیمات'!$B$7)))</f>
        <v/>
      </c>
      <c r="L174" s="10">
        <f>IF(J174=0,0,F174*I174-J174*'تنظیمات'!$B$7*INT(F174*I174/(J174*'تنظیمات'!$B$7)))</f>
        <v/>
      </c>
      <c r="M174" s="10">
        <f>1+COUNTIFS($A$5:$A$265,A174,$L$5:$L$265,"&gt;"&amp;L174)+COUNTIFS($A$5:$A$265,A174,$L$5:$L$265,L174,$D$5:$D$265,"&lt;"&amp;D174)</f>
        <v/>
      </c>
      <c r="N174" s="20">
        <f>IF(J174=0,0,F174-SUMIFS($K$5:$K$265,$A$5:$A$265,A174))</f>
        <v/>
      </c>
      <c r="O174" s="10">
        <f>INT(N174/'تنظیمات'!$B$7)</f>
        <v/>
      </c>
      <c r="P174" s="10">
        <f>N174-O174*'تنظیمات'!$B$7</f>
        <v/>
      </c>
      <c r="Q174" s="20">
        <f>IF(J174=0,0,K174+IF(M174&lt;=O174,'تنظیمات'!$B$7,0)+IF(M174=1,P174,0))</f>
        <v/>
      </c>
      <c r="R174" s="22">
        <f>'سطرهای تسهیم'!F23</f>
        <v/>
      </c>
      <c r="S174" s="22">
        <f>'سطرهای تسهیم'!G23</f>
        <v/>
      </c>
      <c r="T174" s="4">
        <f>IFERROR(INDEX('دسته‌ها'!$D$5:$D$25,MATCH(S174,'دسته‌ها'!$A$5:$A$25,0)),"خیر")</f>
        <v/>
      </c>
    </row>
    <row r="175">
      <c r="A175" s="22">
        <f>'سطرهای تسهیم'!A23</f>
        <v/>
      </c>
      <c r="B175" s="22">
        <f>'سطرهای تسهیم'!B23</f>
        <v/>
      </c>
      <c r="C175" s="22">
        <f>'واحدها'!A13</f>
        <v/>
      </c>
      <c r="D175" s="12">
        <f>'واحدها'!H13</f>
        <v/>
      </c>
      <c r="E175" s="22">
        <f>'سطرهای تسهیم'!D23</f>
        <v/>
      </c>
      <c r="F175" s="19">
        <f>'سطرهای تسهیم'!E23</f>
        <v/>
      </c>
      <c r="G175" s="12">
        <f>IF('واحدها'!F13="بله",'شمول'!J14,0)</f>
        <v/>
      </c>
      <c r="H175" s="10">
        <f>CHOOSE(MATCH(E175,'فهرست‌ها'!$A$4:$A$13,0),1,'واحدها'!E13,'واحدها'!D13*100,'واحدها'!J13,'واحدها'!J13,'وزن‌ها'!J14,'وزن‌ها'!J14,'واحدها'!K13,'واحدها'!L13,0)</f>
        <v/>
      </c>
      <c r="I175" s="10">
        <f>G175*H175</f>
        <v/>
      </c>
      <c r="J175" s="10">
        <f>SUMIFS($I$5:$I$265,$A$5:$A$265,A175)</f>
        <v/>
      </c>
      <c r="K175" s="20">
        <f>IF(J175=0,0,'تنظیمات'!$B$7*INT(F175*I175/(J175*'تنظیمات'!$B$7)))</f>
        <v/>
      </c>
      <c r="L175" s="10">
        <f>IF(J175=0,0,F175*I175-J175*'تنظیمات'!$B$7*INT(F175*I175/(J175*'تنظیمات'!$B$7)))</f>
        <v/>
      </c>
      <c r="M175" s="10">
        <f>1+COUNTIFS($A$5:$A$265,A175,$L$5:$L$265,"&gt;"&amp;L175)+COUNTIFS($A$5:$A$265,A175,$L$5:$L$265,L175,$D$5:$D$265,"&lt;"&amp;D175)</f>
        <v/>
      </c>
      <c r="N175" s="20">
        <f>IF(J175=0,0,F175-SUMIFS($K$5:$K$265,$A$5:$A$265,A175))</f>
        <v/>
      </c>
      <c r="O175" s="10">
        <f>INT(N175/'تنظیمات'!$B$7)</f>
        <v/>
      </c>
      <c r="P175" s="10">
        <f>N175-O175*'تنظیمات'!$B$7</f>
        <v/>
      </c>
      <c r="Q175" s="20">
        <f>IF(J175=0,0,K175+IF(M175&lt;=O175,'تنظیمات'!$B$7,0)+IF(M175=1,P175,0))</f>
        <v/>
      </c>
      <c r="R175" s="22">
        <f>'سطرهای تسهیم'!F23</f>
        <v/>
      </c>
      <c r="S175" s="22">
        <f>'سطرهای تسهیم'!G23</f>
        <v/>
      </c>
      <c r="T175" s="4">
        <f>IFERROR(INDEX('دسته‌ها'!$D$5:$D$25,MATCH(S175,'دسته‌ها'!$A$5:$A$25,0)),"خیر")</f>
        <v/>
      </c>
    </row>
    <row r="176">
      <c r="A176" s="22">
        <f>'سطرهای تسهیم'!A24</f>
        <v/>
      </c>
      <c r="B176" s="22">
        <f>'سطرهای تسهیم'!B24</f>
        <v/>
      </c>
      <c r="C176" s="22">
        <f>'واحدها'!A5</f>
        <v/>
      </c>
      <c r="D176" s="12">
        <f>'واحدها'!H5</f>
        <v/>
      </c>
      <c r="E176" s="22">
        <f>'سطرهای تسهیم'!D24</f>
        <v/>
      </c>
      <c r="F176" s="19">
        <f>'سطرهای تسهیم'!E24</f>
        <v/>
      </c>
      <c r="G176" s="12">
        <f>IF('واحدها'!F5="بله",'شمول'!B14,0)</f>
        <v/>
      </c>
      <c r="H176" s="10">
        <f>CHOOSE(MATCH(E176,'فهرست‌ها'!$A$4:$A$13,0),1,'واحدها'!E5,'واحدها'!D5*100,'واحدها'!J5,'واحدها'!J5,'وزن‌ها'!B14,'وزن‌ها'!B14,'واحدها'!K5,'واحدها'!L5,0)</f>
        <v/>
      </c>
      <c r="I176" s="10">
        <f>G176*H176</f>
        <v/>
      </c>
      <c r="J176" s="10">
        <f>SUMIFS($I$5:$I$265,$A$5:$A$265,A176)</f>
        <v/>
      </c>
      <c r="K176" s="20">
        <f>IF(J176=0,0,'تنظیمات'!$B$7*INT(F176*I176/(J176*'تنظیمات'!$B$7)))</f>
        <v/>
      </c>
      <c r="L176" s="10">
        <f>IF(J176=0,0,F176*I176-J176*'تنظیمات'!$B$7*INT(F176*I176/(J176*'تنظیمات'!$B$7)))</f>
        <v/>
      </c>
      <c r="M176" s="10">
        <f>1+COUNTIFS($A$5:$A$265,A176,$L$5:$L$265,"&gt;"&amp;L176)+COUNTIFS($A$5:$A$265,A176,$L$5:$L$265,L176,$D$5:$D$265,"&lt;"&amp;D176)</f>
        <v/>
      </c>
      <c r="N176" s="20">
        <f>IF(J176=0,0,F176-SUMIFS($K$5:$K$265,$A$5:$A$265,A176))</f>
        <v/>
      </c>
      <c r="O176" s="10">
        <f>INT(N176/'تنظیمات'!$B$7)</f>
        <v/>
      </c>
      <c r="P176" s="10">
        <f>N176-O176*'تنظیمات'!$B$7</f>
        <v/>
      </c>
      <c r="Q176" s="20">
        <f>IF(J176=0,0,K176+IF(M176&lt;=O176,'تنظیمات'!$B$7,0)+IF(M176=1,P176,0))</f>
        <v/>
      </c>
      <c r="R176" s="22">
        <f>'سطرهای تسهیم'!F24</f>
        <v/>
      </c>
      <c r="S176" s="22">
        <f>'سطرهای تسهیم'!G24</f>
        <v/>
      </c>
      <c r="T176" s="4">
        <f>IFERROR(INDEX('دسته‌ها'!$D$5:$D$25,MATCH(S176,'دسته‌ها'!$A$5:$A$25,0)),"خیر")</f>
        <v/>
      </c>
    </row>
    <row r="177">
      <c r="A177" s="22">
        <f>'سطرهای تسهیم'!A24</f>
        <v/>
      </c>
      <c r="B177" s="22">
        <f>'سطرهای تسهیم'!B24</f>
        <v/>
      </c>
      <c r="C177" s="22">
        <f>'واحدها'!A6</f>
        <v/>
      </c>
      <c r="D177" s="12">
        <f>'واحدها'!H6</f>
        <v/>
      </c>
      <c r="E177" s="22">
        <f>'سطرهای تسهیم'!D24</f>
        <v/>
      </c>
      <c r="F177" s="19">
        <f>'سطرهای تسهیم'!E24</f>
        <v/>
      </c>
      <c r="G177" s="12">
        <f>IF('واحدها'!F6="بله",'شمول'!C14,0)</f>
        <v/>
      </c>
      <c r="H177" s="10">
        <f>CHOOSE(MATCH(E177,'فهرست‌ها'!$A$4:$A$13,0),1,'واحدها'!E6,'واحدها'!D6*100,'واحدها'!J6,'واحدها'!J6,'وزن‌ها'!C14,'وزن‌ها'!C14,'واحدها'!K6,'واحدها'!L6,0)</f>
        <v/>
      </c>
      <c r="I177" s="10">
        <f>G177*H177</f>
        <v/>
      </c>
      <c r="J177" s="10">
        <f>SUMIFS($I$5:$I$265,$A$5:$A$265,A177)</f>
        <v/>
      </c>
      <c r="K177" s="20">
        <f>IF(J177=0,0,'تنظیمات'!$B$7*INT(F177*I177/(J177*'تنظیمات'!$B$7)))</f>
        <v/>
      </c>
      <c r="L177" s="10">
        <f>IF(J177=0,0,F177*I177-J177*'تنظیمات'!$B$7*INT(F177*I177/(J177*'تنظیمات'!$B$7)))</f>
        <v/>
      </c>
      <c r="M177" s="10">
        <f>1+COUNTIFS($A$5:$A$265,A177,$L$5:$L$265,"&gt;"&amp;L177)+COUNTIFS($A$5:$A$265,A177,$L$5:$L$265,L177,$D$5:$D$265,"&lt;"&amp;D177)</f>
        <v/>
      </c>
      <c r="N177" s="20">
        <f>IF(J177=0,0,F177-SUMIFS($K$5:$K$265,$A$5:$A$265,A177))</f>
        <v/>
      </c>
      <c r="O177" s="10">
        <f>INT(N177/'تنظیمات'!$B$7)</f>
        <v/>
      </c>
      <c r="P177" s="10">
        <f>N177-O177*'تنظیمات'!$B$7</f>
        <v/>
      </c>
      <c r="Q177" s="20">
        <f>IF(J177=0,0,K177+IF(M177&lt;=O177,'تنظیمات'!$B$7,0)+IF(M177=1,P177,0))</f>
        <v/>
      </c>
      <c r="R177" s="22">
        <f>'سطرهای تسهیم'!F24</f>
        <v/>
      </c>
      <c r="S177" s="22">
        <f>'سطرهای تسهیم'!G24</f>
        <v/>
      </c>
      <c r="T177" s="4">
        <f>IFERROR(INDEX('دسته‌ها'!$D$5:$D$25,MATCH(S177,'دسته‌ها'!$A$5:$A$25,0)),"خیر")</f>
        <v/>
      </c>
    </row>
    <row r="178">
      <c r="A178" s="22">
        <f>'سطرهای تسهیم'!A24</f>
        <v/>
      </c>
      <c r="B178" s="22">
        <f>'سطرهای تسهیم'!B24</f>
        <v/>
      </c>
      <c r="C178" s="22">
        <f>'واحدها'!A7</f>
        <v/>
      </c>
      <c r="D178" s="12">
        <f>'واحدها'!H7</f>
        <v/>
      </c>
      <c r="E178" s="22">
        <f>'سطرهای تسهیم'!D24</f>
        <v/>
      </c>
      <c r="F178" s="19">
        <f>'سطرهای تسهیم'!E24</f>
        <v/>
      </c>
      <c r="G178" s="12">
        <f>IF('واحدها'!F7="بله",'شمول'!D14,0)</f>
        <v/>
      </c>
      <c r="H178" s="10">
        <f>CHOOSE(MATCH(E178,'فهرست‌ها'!$A$4:$A$13,0),1,'واحدها'!E7,'واحدها'!D7*100,'واحدها'!J7,'واحدها'!J7,'وزن‌ها'!D14,'وزن‌ها'!D14,'واحدها'!K7,'واحدها'!L7,0)</f>
        <v/>
      </c>
      <c r="I178" s="10">
        <f>G178*H178</f>
        <v/>
      </c>
      <c r="J178" s="10">
        <f>SUMIFS($I$5:$I$265,$A$5:$A$265,A178)</f>
        <v/>
      </c>
      <c r="K178" s="20">
        <f>IF(J178=0,0,'تنظیمات'!$B$7*INT(F178*I178/(J178*'تنظیمات'!$B$7)))</f>
        <v/>
      </c>
      <c r="L178" s="10">
        <f>IF(J178=0,0,F178*I178-J178*'تنظیمات'!$B$7*INT(F178*I178/(J178*'تنظیمات'!$B$7)))</f>
        <v/>
      </c>
      <c r="M178" s="10">
        <f>1+COUNTIFS($A$5:$A$265,A178,$L$5:$L$265,"&gt;"&amp;L178)+COUNTIFS($A$5:$A$265,A178,$L$5:$L$265,L178,$D$5:$D$265,"&lt;"&amp;D178)</f>
        <v/>
      </c>
      <c r="N178" s="20">
        <f>IF(J178=0,0,F178-SUMIFS($K$5:$K$265,$A$5:$A$265,A178))</f>
        <v/>
      </c>
      <c r="O178" s="10">
        <f>INT(N178/'تنظیمات'!$B$7)</f>
        <v/>
      </c>
      <c r="P178" s="10">
        <f>N178-O178*'تنظیمات'!$B$7</f>
        <v/>
      </c>
      <c r="Q178" s="20">
        <f>IF(J178=0,0,K178+IF(M178&lt;=O178,'تنظیمات'!$B$7,0)+IF(M178=1,P178,0))</f>
        <v/>
      </c>
      <c r="R178" s="22">
        <f>'سطرهای تسهیم'!F24</f>
        <v/>
      </c>
      <c r="S178" s="22">
        <f>'سطرهای تسهیم'!G24</f>
        <v/>
      </c>
      <c r="T178" s="4">
        <f>IFERROR(INDEX('دسته‌ها'!$D$5:$D$25,MATCH(S178,'دسته‌ها'!$A$5:$A$25,0)),"خیر")</f>
        <v/>
      </c>
    </row>
    <row r="179">
      <c r="A179" s="22">
        <f>'سطرهای تسهیم'!A24</f>
        <v/>
      </c>
      <c r="B179" s="22">
        <f>'سطرهای تسهیم'!B24</f>
        <v/>
      </c>
      <c r="C179" s="22">
        <f>'واحدها'!A8</f>
        <v/>
      </c>
      <c r="D179" s="12">
        <f>'واحدها'!H8</f>
        <v/>
      </c>
      <c r="E179" s="22">
        <f>'سطرهای تسهیم'!D24</f>
        <v/>
      </c>
      <c r="F179" s="19">
        <f>'سطرهای تسهیم'!E24</f>
        <v/>
      </c>
      <c r="G179" s="12">
        <f>IF('واحدها'!F8="بله",'شمول'!E14,0)</f>
        <v/>
      </c>
      <c r="H179" s="10">
        <f>CHOOSE(MATCH(E179,'فهرست‌ها'!$A$4:$A$13,0),1,'واحدها'!E8,'واحدها'!D8*100,'واحدها'!J8,'واحدها'!J8,'وزن‌ها'!E14,'وزن‌ها'!E14,'واحدها'!K8,'واحدها'!L8,0)</f>
        <v/>
      </c>
      <c r="I179" s="10">
        <f>G179*H179</f>
        <v/>
      </c>
      <c r="J179" s="10">
        <f>SUMIFS($I$5:$I$265,$A$5:$A$265,A179)</f>
        <v/>
      </c>
      <c r="K179" s="20">
        <f>IF(J179=0,0,'تنظیمات'!$B$7*INT(F179*I179/(J179*'تنظیمات'!$B$7)))</f>
        <v/>
      </c>
      <c r="L179" s="10">
        <f>IF(J179=0,0,F179*I179-J179*'تنظیمات'!$B$7*INT(F179*I179/(J179*'تنظیمات'!$B$7)))</f>
        <v/>
      </c>
      <c r="M179" s="10">
        <f>1+COUNTIFS($A$5:$A$265,A179,$L$5:$L$265,"&gt;"&amp;L179)+COUNTIFS($A$5:$A$265,A179,$L$5:$L$265,L179,$D$5:$D$265,"&lt;"&amp;D179)</f>
        <v/>
      </c>
      <c r="N179" s="20">
        <f>IF(J179=0,0,F179-SUMIFS($K$5:$K$265,$A$5:$A$265,A179))</f>
        <v/>
      </c>
      <c r="O179" s="10">
        <f>INT(N179/'تنظیمات'!$B$7)</f>
        <v/>
      </c>
      <c r="P179" s="10">
        <f>N179-O179*'تنظیمات'!$B$7</f>
        <v/>
      </c>
      <c r="Q179" s="20">
        <f>IF(J179=0,0,K179+IF(M179&lt;=O179,'تنظیمات'!$B$7,0)+IF(M179=1,P179,0))</f>
        <v/>
      </c>
      <c r="R179" s="22">
        <f>'سطرهای تسهیم'!F24</f>
        <v/>
      </c>
      <c r="S179" s="22">
        <f>'سطرهای تسهیم'!G24</f>
        <v/>
      </c>
      <c r="T179" s="4">
        <f>IFERROR(INDEX('دسته‌ها'!$D$5:$D$25,MATCH(S179,'دسته‌ها'!$A$5:$A$25,0)),"خیر")</f>
        <v/>
      </c>
    </row>
    <row r="180">
      <c r="A180" s="22">
        <f>'سطرهای تسهیم'!A24</f>
        <v/>
      </c>
      <c r="B180" s="22">
        <f>'سطرهای تسهیم'!B24</f>
        <v/>
      </c>
      <c r="C180" s="22">
        <f>'واحدها'!A9</f>
        <v/>
      </c>
      <c r="D180" s="12">
        <f>'واحدها'!H9</f>
        <v/>
      </c>
      <c r="E180" s="22">
        <f>'سطرهای تسهیم'!D24</f>
        <v/>
      </c>
      <c r="F180" s="19">
        <f>'سطرهای تسهیم'!E24</f>
        <v/>
      </c>
      <c r="G180" s="12">
        <f>IF('واحدها'!F9="بله",'شمول'!F14,0)</f>
        <v/>
      </c>
      <c r="H180" s="10">
        <f>CHOOSE(MATCH(E180,'فهرست‌ها'!$A$4:$A$13,0),1,'واحدها'!E9,'واحدها'!D9*100,'واحدها'!J9,'واحدها'!J9,'وزن‌ها'!F14,'وزن‌ها'!F14,'واحدها'!K9,'واحدها'!L9,0)</f>
        <v/>
      </c>
      <c r="I180" s="10">
        <f>G180*H180</f>
        <v/>
      </c>
      <c r="J180" s="10">
        <f>SUMIFS($I$5:$I$265,$A$5:$A$265,A180)</f>
        <v/>
      </c>
      <c r="K180" s="20">
        <f>IF(J180=0,0,'تنظیمات'!$B$7*INT(F180*I180/(J180*'تنظیمات'!$B$7)))</f>
        <v/>
      </c>
      <c r="L180" s="10">
        <f>IF(J180=0,0,F180*I180-J180*'تنظیمات'!$B$7*INT(F180*I180/(J180*'تنظیمات'!$B$7)))</f>
        <v/>
      </c>
      <c r="M180" s="10">
        <f>1+COUNTIFS($A$5:$A$265,A180,$L$5:$L$265,"&gt;"&amp;L180)+COUNTIFS($A$5:$A$265,A180,$L$5:$L$265,L180,$D$5:$D$265,"&lt;"&amp;D180)</f>
        <v/>
      </c>
      <c r="N180" s="20">
        <f>IF(J180=0,0,F180-SUMIFS($K$5:$K$265,$A$5:$A$265,A180))</f>
        <v/>
      </c>
      <c r="O180" s="10">
        <f>INT(N180/'تنظیمات'!$B$7)</f>
        <v/>
      </c>
      <c r="P180" s="10">
        <f>N180-O180*'تنظیمات'!$B$7</f>
        <v/>
      </c>
      <c r="Q180" s="20">
        <f>IF(J180=0,0,K180+IF(M180&lt;=O180,'تنظیمات'!$B$7,0)+IF(M180=1,P180,0))</f>
        <v/>
      </c>
      <c r="R180" s="22">
        <f>'سطرهای تسهیم'!F24</f>
        <v/>
      </c>
      <c r="S180" s="22">
        <f>'سطرهای تسهیم'!G24</f>
        <v/>
      </c>
      <c r="T180" s="4">
        <f>IFERROR(INDEX('دسته‌ها'!$D$5:$D$25,MATCH(S180,'دسته‌ها'!$A$5:$A$25,0)),"خیر")</f>
        <v/>
      </c>
    </row>
    <row r="181">
      <c r="A181" s="22">
        <f>'سطرهای تسهیم'!A24</f>
        <v/>
      </c>
      <c r="B181" s="22">
        <f>'سطرهای تسهیم'!B24</f>
        <v/>
      </c>
      <c r="C181" s="22">
        <f>'واحدها'!A10</f>
        <v/>
      </c>
      <c r="D181" s="12">
        <f>'واحدها'!H10</f>
        <v/>
      </c>
      <c r="E181" s="22">
        <f>'سطرهای تسهیم'!D24</f>
        <v/>
      </c>
      <c r="F181" s="19">
        <f>'سطرهای تسهیم'!E24</f>
        <v/>
      </c>
      <c r="G181" s="12">
        <f>IF('واحدها'!F10="بله",'شمول'!G14,0)</f>
        <v/>
      </c>
      <c r="H181" s="10">
        <f>CHOOSE(MATCH(E181,'فهرست‌ها'!$A$4:$A$13,0),1,'واحدها'!E10,'واحدها'!D10*100,'واحدها'!J10,'واحدها'!J10,'وزن‌ها'!G14,'وزن‌ها'!G14,'واحدها'!K10,'واحدها'!L10,0)</f>
        <v/>
      </c>
      <c r="I181" s="10">
        <f>G181*H181</f>
        <v/>
      </c>
      <c r="J181" s="10">
        <f>SUMIFS($I$5:$I$265,$A$5:$A$265,A181)</f>
        <v/>
      </c>
      <c r="K181" s="20">
        <f>IF(J181=0,0,'تنظیمات'!$B$7*INT(F181*I181/(J181*'تنظیمات'!$B$7)))</f>
        <v/>
      </c>
      <c r="L181" s="10">
        <f>IF(J181=0,0,F181*I181-J181*'تنظیمات'!$B$7*INT(F181*I181/(J181*'تنظیمات'!$B$7)))</f>
        <v/>
      </c>
      <c r="M181" s="10">
        <f>1+COUNTIFS($A$5:$A$265,A181,$L$5:$L$265,"&gt;"&amp;L181)+COUNTIFS($A$5:$A$265,A181,$L$5:$L$265,L181,$D$5:$D$265,"&lt;"&amp;D181)</f>
        <v/>
      </c>
      <c r="N181" s="20">
        <f>IF(J181=0,0,F181-SUMIFS($K$5:$K$265,$A$5:$A$265,A181))</f>
        <v/>
      </c>
      <c r="O181" s="10">
        <f>INT(N181/'تنظیمات'!$B$7)</f>
        <v/>
      </c>
      <c r="P181" s="10">
        <f>N181-O181*'تنظیمات'!$B$7</f>
        <v/>
      </c>
      <c r="Q181" s="20">
        <f>IF(J181=0,0,K181+IF(M181&lt;=O181,'تنظیمات'!$B$7,0)+IF(M181=1,P181,0))</f>
        <v/>
      </c>
      <c r="R181" s="22">
        <f>'سطرهای تسهیم'!F24</f>
        <v/>
      </c>
      <c r="S181" s="22">
        <f>'سطرهای تسهیم'!G24</f>
        <v/>
      </c>
      <c r="T181" s="4">
        <f>IFERROR(INDEX('دسته‌ها'!$D$5:$D$25,MATCH(S181,'دسته‌ها'!$A$5:$A$25,0)),"خیر")</f>
        <v/>
      </c>
    </row>
    <row r="182">
      <c r="A182" s="22">
        <f>'سطرهای تسهیم'!A24</f>
        <v/>
      </c>
      <c r="B182" s="22">
        <f>'سطرهای تسهیم'!B24</f>
        <v/>
      </c>
      <c r="C182" s="22">
        <f>'واحدها'!A11</f>
        <v/>
      </c>
      <c r="D182" s="12">
        <f>'واحدها'!H11</f>
        <v/>
      </c>
      <c r="E182" s="22">
        <f>'سطرهای تسهیم'!D24</f>
        <v/>
      </c>
      <c r="F182" s="19">
        <f>'سطرهای تسهیم'!E24</f>
        <v/>
      </c>
      <c r="G182" s="12">
        <f>IF('واحدها'!F11="بله",'شمول'!H14,0)</f>
        <v/>
      </c>
      <c r="H182" s="10">
        <f>CHOOSE(MATCH(E182,'فهرست‌ها'!$A$4:$A$13,0),1,'واحدها'!E11,'واحدها'!D11*100,'واحدها'!J11,'واحدها'!J11,'وزن‌ها'!H14,'وزن‌ها'!H14,'واحدها'!K11,'واحدها'!L11,0)</f>
        <v/>
      </c>
      <c r="I182" s="10">
        <f>G182*H182</f>
        <v/>
      </c>
      <c r="J182" s="10">
        <f>SUMIFS($I$5:$I$265,$A$5:$A$265,A182)</f>
        <v/>
      </c>
      <c r="K182" s="20">
        <f>IF(J182=0,0,'تنظیمات'!$B$7*INT(F182*I182/(J182*'تنظیمات'!$B$7)))</f>
        <v/>
      </c>
      <c r="L182" s="10">
        <f>IF(J182=0,0,F182*I182-J182*'تنظیمات'!$B$7*INT(F182*I182/(J182*'تنظیمات'!$B$7)))</f>
        <v/>
      </c>
      <c r="M182" s="10">
        <f>1+COUNTIFS($A$5:$A$265,A182,$L$5:$L$265,"&gt;"&amp;L182)+COUNTIFS($A$5:$A$265,A182,$L$5:$L$265,L182,$D$5:$D$265,"&lt;"&amp;D182)</f>
        <v/>
      </c>
      <c r="N182" s="20">
        <f>IF(J182=0,0,F182-SUMIFS($K$5:$K$265,$A$5:$A$265,A182))</f>
        <v/>
      </c>
      <c r="O182" s="10">
        <f>INT(N182/'تنظیمات'!$B$7)</f>
        <v/>
      </c>
      <c r="P182" s="10">
        <f>N182-O182*'تنظیمات'!$B$7</f>
        <v/>
      </c>
      <c r="Q182" s="20">
        <f>IF(J182=0,0,K182+IF(M182&lt;=O182,'تنظیمات'!$B$7,0)+IF(M182=1,P182,0))</f>
        <v/>
      </c>
      <c r="R182" s="22">
        <f>'سطرهای تسهیم'!F24</f>
        <v/>
      </c>
      <c r="S182" s="22">
        <f>'سطرهای تسهیم'!G24</f>
        <v/>
      </c>
      <c r="T182" s="4">
        <f>IFERROR(INDEX('دسته‌ها'!$D$5:$D$25,MATCH(S182,'دسته‌ها'!$A$5:$A$25,0)),"خیر")</f>
        <v/>
      </c>
    </row>
    <row r="183">
      <c r="A183" s="22">
        <f>'سطرهای تسهیم'!A24</f>
        <v/>
      </c>
      <c r="B183" s="22">
        <f>'سطرهای تسهیم'!B24</f>
        <v/>
      </c>
      <c r="C183" s="22">
        <f>'واحدها'!A12</f>
        <v/>
      </c>
      <c r="D183" s="12">
        <f>'واحدها'!H12</f>
        <v/>
      </c>
      <c r="E183" s="22">
        <f>'سطرهای تسهیم'!D24</f>
        <v/>
      </c>
      <c r="F183" s="19">
        <f>'سطرهای تسهیم'!E24</f>
        <v/>
      </c>
      <c r="G183" s="12">
        <f>IF('واحدها'!F12="بله",'شمول'!I14,0)</f>
        <v/>
      </c>
      <c r="H183" s="10">
        <f>CHOOSE(MATCH(E183,'فهرست‌ها'!$A$4:$A$13,0),1,'واحدها'!E12,'واحدها'!D12*100,'واحدها'!J12,'واحدها'!J12,'وزن‌ها'!I14,'وزن‌ها'!I14,'واحدها'!K12,'واحدها'!L12,0)</f>
        <v/>
      </c>
      <c r="I183" s="10">
        <f>G183*H183</f>
        <v/>
      </c>
      <c r="J183" s="10">
        <f>SUMIFS($I$5:$I$265,$A$5:$A$265,A183)</f>
        <v/>
      </c>
      <c r="K183" s="20">
        <f>IF(J183=0,0,'تنظیمات'!$B$7*INT(F183*I183/(J183*'تنظیمات'!$B$7)))</f>
        <v/>
      </c>
      <c r="L183" s="10">
        <f>IF(J183=0,0,F183*I183-J183*'تنظیمات'!$B$7*INT(F183*I183/(J183*'تنظیمات'!$B$7)))</f>
        <v/>
      </c>
      <c r="M183" s="10">
        <f>1+COUNTIFS($A$5:$A$265,A183,$L$5:$L$265,"&gt;"&amp;L183)+COUNTIFS($A$5:$A$265,A183,$L$5:$L$265,L183,$D$5:$D$265,"&lt;"&amp;D183)</f>
        <v/>
      </c>
      <c r="N183" s="20">
        <f>IF(J183=0,0,F183-SUMIFS($K$5:$K$265,$A$5:$A$265,A183))</f>
        <v/>
      </c>
      <c r="O183" s="10">
        <f>INT(N183/'تنظیمات'!$B$7)</f>
        <v/>
      </c>
      <c r="P183" s="10">
        <f>N183-O183*'تنظیمات'!$B$7</f>
        <v/>
      </c>
      <c r="Q183" s="20">
        <f>IF(J183=0,0,K183+IF(M183&lt;=O183,'تنظیمات'!$B$7,0)+IF(M183=1,P183,0))</f>
        <v/>
      </c>
      <c r="R183" s="22">
        <f>'سطرهای تسهیم'!F24</f>
        <v/>
      </c>
      <c r="S183" s="22">
        <f>'سطرهای تسهیم'!G24</f>
        <v/>
      </c>
      <c r="T183" s="4">
        <f>IFERROR(INDEX('دسته‌ها'!$D$5:$D$25,MATCH(S183,'دسته‌ها'!$A$5:$A$25,0)),"خیر")</f>
        <v/>
      </c>
    </row>
    <row r="184">
      <c r="A184" s="22">
        <f>'سطرهای تسهیم'!A24</f>
        <v/>
      </c>
      <c r="B184" s="22">
        <f>'سطرهای تسهیم'!B24</f>
        <v/>
      </c>
      <c r="C184" s="22">
        <f>'واحدها'!A13</f>
        <v/>
      </c>
      <c r="D184" s="12">
        <f>'واحدها'!H13</f>
        <v/>
      </c>
      <c r="E184" s="22">
        <f>'سطرهای تسهیم'!D24</f>
        <v/>
      </c>
      <c r="F184" s="19">
        <f>'سطرهای تسهیم'!E24</f>
        <v/>
      </c>
      <c r="G184" s="12">
        <f>IF('واحدها'!F13="بله",'شمول'!J14,0)</f>
        <v/>
      </c>
      <c r="H184" s="10">
        <f>CHOOSE(MATCH(E184,'فهرست‌ها'!$A$4:$A$13,0),1,'واحدها'!E13,'واحدها'!D13*100,'واحدها'!J13,'واحدها'!J13,'وزن‌ها'!J14,'وزن‌ها'!J14,'واحدها'!K13,'واحدها'!L13,0)</f>
        <v/>
      </c>
      <c r="I184" s="10">
        <f>G184*H184</f>
        <v/>
      </c>
      <c r="J184" s="10">
        <f>SUMIFS($I$5:$I$265,$A$5:$A$265,A184)</f>
        <v/>
      </c>
      <c r="K184" s="20">
        <f>IF(J184=0,0,'تنظیمات'!$B$7*INT(F184*I184/(J184*'تنظیمات'!$B$7)))</f>
        <v/>
      </c>
      <c r="L184" s="10">
        <f>IF(J184=0,0,F184*I184-J184*'تنظیمات'!$B$7*INT(F184*I184/(J184*'تنظیمات'!$B$7)))</f>
        <v/>
      </c>
      <c r="M184" s="10">
        <f>1+COUNTIFS($A$5:$A$265,A184,$L$5:$L$265,"&gt;"&amp;L184)+COUNTIFS($A$5:$A$265,A184,$L$5:$L$265,L184,$D$5:$D$265,"&lt;"&amp;D184)</f>
        <v/>
      </c>
      <c r="N184" s="20">
        <f>IF(J184=0,0,F184-SUMIFS($K$5:$K$265,$A$5:$A$265,A184))</f>
        <v/>
      </c>
      <c r="O184" s="10">
        <f>INT(N184/'تنظیمات'!$B$7)</f>
        <v/>
      </c>
      <c r="P184" s="10">
        <f>N184-O184*'تنظیمات'!$B$7</f>
        <v/>
      </c>
      <c r="Q184" s="20">
        <f>IF(J184=0,0,K184+IF(M184&lt;=O184,'تنظیمات'!$B$7,0)+IF(M184=1,P184,0))</f>
        <v/>
      </c>
      <c r="R184" s="22">
        <f>'سطرهای تسهیم'!F24</f>
        <v/>
      </c>
      <c r="S184" s="22">
        <f>'سطرهای تسهیم'!G24</f>
        <v/>
      </c>
      <c r="T184" s="4">
        <f>IFERROR(INDEX('دسته‌ها'!$D$5:$D$25,MATCH(S184,'دسته‌ها'!$A$5:$A$25,0)),"خیر")</f>
        <v/>
      </c>
    </row>
    <row r="185">
      <c r="A185" s="22">
        <f>'سطرهای تسهیم'!A25</f>
        <v/>
      </c>
      <c r="B185" s="22">
        <f>'سطرهای تسهیم'!B25</f>
        <v/>
      </c>
      <c r="C185" s="22">
        <f>'واحدها'!A5</f>
        <v/>
      </c>
      <c r="D185" s="12">
        <f>'واحدها'!H5</f>
        <v/>
      </c>
      <c r="E185" s="22">
        <f>'سطرهای تسهیم'!D25</f>
        <v/>
      </c>
      <c r="F185" s="19">
        <f>'سطرهای تسهیم'!E25</f>
        <v/>
      </c>
      <c r="G185" s="12">
        <f>IF('واحدها'!F5="بله",'شمول'!B15,0)</f>
        <v/>
      </c>
      <c r="H185" s="10">
        <f>CHOOSE(MATCH(E185,'فهرست‌ها'!$A$4:$A$13,0),1,'واحدها'!E5,'واحدها'!D5*100,'واحدها'!J5,'واحدها'!J5,'وزن‌ها'!B15,'وزن‌ها'!B15,'واحدها'!K5,'واحدها'!L5,0)</f>
        <v/>
      </c>
      <c r="I185" s="10">
        <f>G185*H185</f>
        <v/>
      </c>
      <c r="J185" s="10">
        <f>SUMIFS($I$5:$I$265,$A$5:$A$265,A185)</f>
        <v/>
      </c>
      <c r="K185" s="20">
        <f>IF(J185=0,0,'تنظیمات'!$B$7*INT(F185*I185/(J185*'تنظیمات'!$B$7)))</f>
        <v/>
      </c>
      <c r="L185" s="10">
        <f>IF(J185=0,0,F185*I185-J185*'تنظیمات'!$B$7*INT(F185*I185/(J185*'تنظیمات'!$B$7)))</f>
        <v/>
      </c>
      <c r="M185" s="10">
        <f>1+COUNTIFS($A$5:$A$265,A185,$L$5:$L$265,"&gt;"&amp;L185)+COUNTIFS($A$5:$A$265,A185,$L$5:$L$265,L185,$D$5:$D$265,"&lt;"&amp;D185)</f>
        <v/>
      </c>
      <c r="N185" s="20">
        <f>IF(J185=0,0,F185-SUMIFS($K$5:$K$265,$A$5:$A$265,A185))</f>
        <v/>
      </c>
      <c r="O185" s="10">
        <f>INT(N185/'تنظیمات'!$B$7)</f>
        <v/>
      </c>
      <c r="P185" s="10">
        <f>N185-O185*'تنظیمات'!$B$7</f>
        <v/>
      </c>
      <c r="Q185" s="20">
        <f>IF(J185=0,0,K185+IF(M185&lt;=O185,'تنظیمات'!$B$7,0)+IF(M185=1,P185,0))</f>
        <v/>
      </c>
      <c r="R185" s="22">
        <f>'سطرهای تسهیم'!F25</f>
        <v/>
      </c>
      <c r="S185" s="22">
        <f>'سطرهای تسهیم'!G25</f>
        <v/>
      </c>
      <c r="T185" s="4">
        <f>IFERROR(INDEX('دسته‌ها'!$D$5:$D$25,MATCH(S185,'دسته‌ها'!$A$5:$A$25,0)),"خیر")</f>
        <v/>
      </c>
    </row>
    <row r="186">
      <c r="A186" s="22">
        <f>'سطرهای تسهیم'!A25</f>
        <v/>
      </c>
      <c r="B186" s="22">
        <f>'سطرهای تسهیم'!B25</f>
        <v/>
      </c>
      <c r="C186" s="22">
        <f>'واحدها'!A6</f>
        <v/>
      </c>
      <c r="D186" s="12">
        <f>'واحدها'!H6</f>
        <v/>
      </c>
      <c r="E186" s="22">
        <f>'سطرهای تسهیم'!D25</f>
        <v/>
      </c>
      <c r="F186" s="19">
        <f>'سطرهای تسهیم'!E25</f>
        <v/>
      </c>
      <c r="G186" s="12">
        <f>IF('واحدها'!F6="بله",'شمول'!C15,0)</f>
        <v/>
      </c>
      <c r="H186" s="10">
        <f>CHOOSE(MATCH(E186,'فهرست‌ها'!$A$4:$A$13,0),1,'واحدها'!E6,'واحدها'!D6*100,'واحدها'!J6,'واحدها'!J6,'وزن‌ها'!C15,'وزن‌ها'!C15,'واحدها'!K6,'واحدها'!L6,0)</f>
        <v/>
      </c>
      <c r="I186" s="10">
        <f>G186*H186</f>
        <v/>
      </c>
      <c r="J186" s="10">
        <f>SUMIFS($I$5:$I$265,$A$5:$A$265,A186)</f>
        <v/>
      </c>
      <c r="K186" s="20">
        <f>IF(J186=0,0,'تنظیمات'!$B$7*INT(F186*I186/(J186*'تنظیمات'!$B$7)))</f>
        <v/>
      </c>
      <c r="L186" s="10">
        <f>IF(J186=0,0,F186*I186-J186*'تنظیمات'!$B$7*INT(F186*I186/(J186*'تنظیمات'!$B$7)))</f>
        <v/>
      </c>
      <c r="M186" s="10">
        <f>1+COUNTIFS($A$5:$A$265,A186,$L$5:$L$265,"&gt;"&amp;L186)+COUNTIFS($A$5:$A$265,A186,$L$5:$L$265,L186,$D$5:$D$265,"&lt;"&amp;D186)</f>
        <v/>
      </c>
      <c r="N186" s="20">
        <f>IF(J186=0,0,F186-SUMIFS($K$5:$K$265,$A$5:$A$265,A186))</f>
        <v/>
      </c>
      <c r="O186" s="10">
        <f>INT(N186/'تنظیمات'!$B$7)</f>
        <v/>
      </c>
      <c r="P186" s="10">
        <f>N186-O186*'تنظیمات'!$B$7</f>
        <v/>
      </c>
      <c r="Q186" s="20">
        <f>IF(J186=0,0,K186+IF(M186&lt;=O186,'تنظیمات'!$B$7,0)+IF(M186=1,P186,0))</f>
        <v/>
      </c>
      <c r="R186" s="22">
        <f>'سطرهای تسهیم'!F25</f>
        <v/>
      </c>
      <c r="S186" s="22">
        <f>'سطرهای تسهیم'!G25</f>
        <v/>
      </c>
      <c r="T186" s="4">
        <f>IFERROR(INDEX('دسته‌ها'!$D$5:$D$25,MATCH(S186,'دسته‌ها'!$A$5:$A$25,0)),"خیر")</f>
        <v/>
      </c>
    </row>
    <row r="187">
      <c r="A187" s="22">
        <f>'سطرهای تسهیم'!A25</f>
        <v/>
      </c>
      <c r="B187" s="22">
        <f>'سطرهای تسهیم'!B25</f>
        <v/>
      </c>
      <c r="C187" s="22">
        <f>'واحدها'!A7</f>
        <v/>
      </c>
      <c r="D187" s="12">
        <f>'واحدها'!H7</f>
        <v/>
      </c>
      <c r="E187" s="22">
        <f>'سطرهای تسهیم'!D25</f>
        <v/>
      </c>
      <c r="F187" s="19">
        <f>'سطرهای تسهیم'!E25</f>
        <v/>
      </c>
      <c r="G187" s="12">
        <f>IF('واحدها'!F7="بله",'شمول'!D15,0)</f>
        <v/>
      </c>
      <c r="H187" s="10">
        <f>CHOOSE(MATCH(E187,'فهرست‌ها'!$A$4:$A$13,0),1,'واحدها'!E7,'واحدها'!D7*100,'واحدها'!J7,'واحدها'!J7,'وزن‌ها'!D15,'وزن‌ها'!D15,'واحدها'!K7,'واحدها'!L7,0)</f>
        <v/>
      </c>
      <c r="I187" s="10">
        <f>G187*H187</f>
        <v/>
      </c>
      <c r="J187" s="10">
        <f>SUMIFS($I$5:$I$265,$A$5:$A$265,A187)</f>
        <v/>
      </c>
      <c r="K187" s="20">
        <f>IF(J187=0,0,'تنظیمات'!$B$7*INT(F187*I187/(J187*'تنظیمات'!$B$7)))</f>
        <v/>
      </c>
      <c r="L187" s="10">
        <f>IF(J187=0,0,F187*I187-J187*'تنظیمات'!$B$7*INT(F187*I187/(J187*'تنظیمات'!$B$7)))</f>
        <v/>
      </c>
      <c r="M187" s="10">
        <f>1+COUNTIFS($A$5:$A$265,A187,$L$5:$L$265,"&gt;"&amp;L187)+COUNTIFS($A$5:$A$265,A187,$L$5:$L$265,L187,$D$5:$D$265,"&lt;"&amp;D187)</f>
        <v/>
      </c>
      <c r="N187" s="20">
        <f>IF(J187=0,0,F187-SUMIFS($K$5:$K$265,$A$5:$A$265,A187))</f>
        <v/>
      </c>
      <c r="O187" s="10">
        <f>INT(N187/'تنظیمات'!$B$7)</f>
        <v/>
      </c>
      <c r="P187" s="10">
        <f>N187-O187*'تنظیمات'!$B$7</f>
        <v/>
      </c>
      <c r="Q187" s="20">
        <f>IF(J187=0,0,K187+IF(M187&lt;=O187,'تنظیمات'!$B$7,0)+IF(M187=1,P187,0))</f>
        <v/>
      </c>
      <c r="R187" s="22">
        <f>'سطرهای تسهیم'!F25</f>
        <v/>
      </c>
      <c r="S187" s="22">
        <f>'سطرهای تسهیم'!G25</f>
        <v/>
      </c>
      <c r="T187" s="4">
        <f>IFERROR(INDEX('دسته‌ها'!$D$5:$D$25,MATCH(S187,'دسته‌ها'!$A$5:$A$25,0)),"خیر")</f>
        <v/>
      </c>
    </row>
    <row r="188">
      <c r="A188" s="22">
        <f>'سطرهای تسهیم'!A25</f>
        <v/>
      </c>
      <c r="B188" s="22">
        <f>'سطرهای تسهیم'!B25</f>
        <v/>
      </c>
      <c r="C188" s="22">
        <f>'واحدها'!A8</f>
        <v/>
      </c>
      <c r="D188" s="12">
        <f>'واحدها'!H8</f>
        <v/>
      </c>
      <c r="E188" s="22">
        <f>'سطرهای تسهیم'!D25</f>
        <v/>
      </c>
      <c r="F188" s="19">
        <f>'سطرهای تسهیم'!E25</f>
        <v/>
      </c>
      <c r="G188" s="12">
        <f>IF('واحدها'!F8="بله",'شمول'!E15,0)</f>
        <v/>
      </c>
      <c r="H188" s="10">
        <f>CHOOSE(MATCH(E188,'فهرست‌ها'!$A$4:$A$13,0),1,'واحدها'!E8,'واحدها'!D8*100,'واحدها'!J8,'واحدها'!J8,'وزن‌ها'!E15,'وزن‌ها'!E15,'واحدها'!K8,'واحدها'!L8,0)</f>
        <v/>
      </c>
      <c r="I188" s="10">
        <f>G188*H188</f>
        <v/>
      </c>
      <c r="J188" s="10">
        <f>SUMIFS($I$5:$I$265,$A$5:$A$265,A188)</f>
        <v/>
      </c>
      <c r="K188" s="20">
        <f>IF(J188=0,0,'تنظیمات'!$B$7*INT(F188*I188/(J188*'تنظیمات'!$B$7)))</f>
        <v/>
      </c>
      <c r="L188" s="10">
        <f>IF(J188=0,0,F188*I188-J188*'تنظیمات'!$B$7*INT(F188*I188/(J188*'تنظیمات'!$B$7)))</f>
        <v/>
      </c>
      <c r="M188" s="10">
        <f>1+COUNTIFS($A$5:$A$265,A188,$L$5:$L$265,"&gt;"&amp;L188)+COUNTIFS($A$5:$A$265,A188,$L$5:$L$265,L188,$D$5:$D$265,"&lt;"&amp;D188)</f>
        <v/>
      </c>
      <c r="N188" s="20">
        <f>IF(J188=0,0,F188-SUMIFS($K$5:$K$265,$A$5:$A$265,A188))</f>
        <v/>
      </c>
      <c r="O188" s="10">
        <f>INT(N188/'تنظیمات'!$B$7)</f>
        <v/>
      </c>
      <c r="P188" s="10">
        <f>N188-O188*'تنظیمات'!$B$7</f>
        <v/>
      </c>
      <c r="Q188" s="20">
        <f>IF(J188=0,0,K188+IF(M188&lt;=O188,'تنظیمات'!$B$7,0)+IF(M188=1,P188,0))</f>
        <v/>
      </c>
      <c r="R188" s="22">
        <f>'سطرهای تسهیم'!F25</f>
        <v/>
      </c>
      <c r="S188" s="22">
        <f>'سطرهای تسهیم'!G25</f>
        <v/>
      </c>
      <c r="T188" s="4">
        <f>IFERROR(INDEX('دسته‌ها'!$D$5:$D$25,MATCH(S188,'دسته‌ها'!$A$5:$A$25,0)),"خیر")</f>
        <v/>
      </c>
    </row>
    <row r="189">
      <c r="A189" s="22">
        <f>'سطرهای تسهیم'!A25</f>
        <v/>
      </c>
      <c r="B189" s="22">
        <f>'سطرهای تسهیم'!B25</f>
        <v/>
      </c>
      <c r="C189" s="22">
        <f>'واحدها'!A9</f>
        <v/>
      </c>
      <c r="D189" s="12">
        <f>'واحدها'!H9</f>
        <v/>
      </c>
      <c r="E189" s="22">
        <f>'سطرهای تسهیم'!D25</f>
        <v/>
      </c>
      <c r="F189" s="19">
        <f>'سطرهای تسهیم'!E25</f>
        <v/>
      </c>
      <c r="G189" s="12">
        <f>IF('واحدها'!F9="بله",'شمول'!F15,0)</f>
        <v/>
      </c>
      <c r="H189" s="10">
        <f>CHOOSE(MATCH(E189,'فهرست‌ها'!$A$4:$A$13,0),1,'واحدها'!E9,'واحدها'!D9*100,'واحدها'!J9,'واحدها'!J9,'وزن‌ها'!F15,'وزن‌ها'!F15,'واحدها'!K9,'واحدها'!L9,0)</f>
        <v/>
      </c>
      <c r="I189" s="10">
        <f>G189*H189</f>
        <v/>
      </c>
      <c r="J189" s="10">
        <f>SUMIFS($I$5:$I$265,$A$5:$A$265,A189)</f>
        <v/>
      </c>
      <c r="K189" s="20">
        <f>IF(J189=0,0,'تنظیمات'!$B$7*INT(F189*I189/(J189*'تنظیمات'!$B$7)))</f>
        <v/>
      </c>
      <c r="L189" s="10">
        <f>IF(J189=0,0,F189*I189-J189*'تنظیمات'!$B$7*INT(F189*I189/(J189*'تنظیمات'!$B$7)))</f>
        <v/>
      </c>
      <c r="M189" s="10">
        <f>1+COUNTIFS($A$5:$A$265,A189,$L$5:$L$265,"&gt;"&amp;L189)+COUNTIFS($A$5:$A$265,A189,$L$5:$L$265,L189,$D$5:$D$265,"&lt;"&amp;D189)</f>
        <v/>
      </c>
      <c r="N189" s="20">
        <f>IF(J189=0,0,F189-SUMIFS($K$5:$K$265,$A$5:$A$265,A189))</f>
        <v/>
      </c>
      <c r="O189" s="10">
        <f>INT(N189/'تنظیمات'!$B$7)</f>
        <v/>
      </c>
      <c r="P189" s="10">
        <f>N189-O189*'تنظیمات'!$B$7</f>
        <v/>
      </c>
      <c r="Q189" s="20">
        <f>IF(J189=0,0,K189+IF(M189&lt;=O189,'تنظیمات'!$B$7,0)+IF(M189=1,P189,0))</f>
        <v/>
      </c>
      <c r="R189" s="22">
        <f>'سطرهای تسهیم'!F25</f>
        <v/>
      </c>
      <c r="S189" s="22">
        <f>'سطرهای تسهیم'!G25</f>
        <v/>
      </c>
      <c r="T189" s="4">
        <f>IFERROR(INDEX('دسته‌ها'!$D$5:$D$25,MATCH(S189,'دسته‌ها'!$A$5:$A$25,0)),"خیر")</f>
        <v/>
      </c>
    </row>
    <row r="190">
      <c r="A190" s="22">
        <f>'سطرهای تسهیم'!A25</f>
        <v/>
      </c>
      <c r="B190" s="22">
        <f>'سطرهای تسهیم'!B25</f>
        <v/>
      </c>
      <c r="C190" s="22">
        <f>'واحدها'!A10</f>
        <v/>
      </c>
      <c r="D190" s="12">
        <f>'واحدها'!H10</f>
        <v/>
      </c>
      <c r="E190" s="22">
        <f>'سطرهای تسهیم'!D25</f>
        <v/>
      </c>
      <c r="F190" s="19">
        <f>'سطرهای تسهیم'!E25</f>
        <v/>
      </c>
      <c r="G190" s="12">
        <f>IF('واحدها'!F10="بله",'شمول'!G15,0)</f>
        <v/>
      </c>
      <c r="H190" s="10">
        <f>CHOOSE(MATCH(E190,'فهرست‌ها'!$A$4:$A$13,0),1,'واحدها'!E10,'واحدها'!D10*100,'واحدها'!J10,'واحدها'!J10,'وزن‌ها'!G15,'وزن‌ها'!G15,'واحدها'!K10,'واحدها'!L10,0)</f>
        <v/>
      </c>
      <c r="I190" s="10">
        <f>G190*H190</f>
        <v/>
      </c>
      <c r="J190" s="10">
        <f>SUMIFS($I$5:$I$265,$A$5:$A$265,A190)</f>
        <v/>
      </c>
      <c r="K190" s="20">
        <f>IF(J190=0,0,'تنظیمات'!$B$7*INT(F190*I190/(J190*'تنظیمات'!$B$7)))</f>
        <v/>
      </c>
      <c r="L190" s="10">
        <f>IF(J190=0,0,F190*I190-J190*'تنظیمات'!$B$7*INT(F190*I190/(J190*'تنظیمات'!$B$7)))</f>
        <v/>
      </c>
      <c r="M190" s="10">
        <f>1+COUNTIFS($A$5:$A$265,A190,$L$5:$L$265,"&gt;"&amp;L190)+COUNTIFS($A$5:$A$265,A190,$L$5:$L$265,L190,$D$5:$D$265,"&lt;"&amp;D190)</f>
        <v/>
      </c>
      <c r="N190" s="20">
        <f>IF(J190=0,0,F190-SUMIFS($K$5:$K$265,$A$5:$A$265,A190))</f>
        <v/>
      </c>
      <c r="O190" s="10">
        <f>INT(N190/'تنظیمات'!$B$7)</f>
        <v/>
      </c>
      <c r="P190" s="10">
        <f>N190-O190*'تنظیمات'!$B$7</f>
        <v/>
      </c>
      <c r="Q190" s="20">
        <f>IF(J190=0,0,K190+IF(M190&lt;=O190,'تنظیمات'!$B$7,0)+IF(M190=1,P190,0))</f>
        <v/>
      </c>
      <c r="R190" s="22">
        <f>'سطرهای تسهیم'!F25</f>
        <v/>
      </c>
      <c r="S190" s="22">
        <f>'سطرهای تسهیم'!G25</f>
        <v/>
      </c>
      <c r="T190" s="4">
        <f>IFERROR(INDEX('دسته‌ها'!$D$5:$D$25,MATCH(S190,'دسته‌ها'!$A$5:$A$25,0)),"خیر")</f>
        <v/>
      </c>
    </row>
    <row r="191">
      <c r="A191" s="22">
        <f>'سطرهای تسهیم'!A25</f>
        <v/>
      </c>
      <c r="B191" s="22">
        <f>'سطرهای تسهیم'!B25</f>
        <v/>
      </c>
      <c r="C191" s="22">
        <f>'واحدها'!A11</f>
        <v/>
      </c>
      <c r="D191" s="12">
        <f>'واحدها'!H11</f>
        <v/>
      </c>
      <c r="E191" s="22">
        <f>'سطرهای تسهیم'!D25</f>
        <v/>
      </c>
      <c r="F191" s="19">
        <f>'سطرهای تسهیم'!E25</f>
        <v/>
      </c>
      <c r="G191" s="12">
        <f>IF('واحدها'!F11="بله",'شمول'!H15,0)</f>
        <v/>
      </c>
      <c r="H191" s="10">
        <f>CHOOSE(MATCH(E191,'فهرست‌ها'!$A$4:$A$13,0),1,'واحدها'!E11,'واحدها'!D11*100,'واحدها'!J11,'واحدها'!J11,'وزن‌ها'!H15,'وزن‌ها'!H15,'واحدها'!K11,'واحدها'!L11,0)</f>
        <v/>
      </c>
      <c r="I191" s="10">
        <f>G191*H191</f>
        <v/>
      </c>
      <c r="J191" s="10">
        <f>SUMIFS($I$5:$I$265,$A$5:$A$265,A191)</f>
        <v/>
      </c>
      <c r="K191" s="20">
        <f>IF(J191=0,0,'تنظیمات'!$B$7*INT(F191*I191/(J191*'تنظیمات'!$B$7)))</f>
        <v/>
      </c>
      <c r="L191" s="10">
        <f>IF(J191=0,0,F191*I191-J191*'تنظیمات'!$B$7*INT(F191*I191/(J191*'تنظیمات'!$B$7)))</f>
        <v/>
      </c>
      <c r="M191" s="10">
        <f>1+COUNTIFS($A$5:$A$265,A191,$L$5:$L$265,"&gt;"&amp;L191)+COUNTIFS($A$5:$A$265,A191,$L$5:$L$265,L191,$D$5:$D$265,"&lt;"&amp;D191)</f>
        <v/>
      </c>
      <c r="N191" s="20">
        <f>IF(J191=0,0,F191-SUMIFS($K$5:$K$265,$A$5:$A$265,A191))</f>
        <v/>
      </c>
      <c r="O191" s="10">
        <f>INT(N191/'تنظیمات'!$B$7)</f>
        <v/>
      </c>
      <c r="P191" s="10">
        <f>N191-O191*'تنظیمات'!$B$7</f>
        <v/>
      </c>
      <c r="Q191" s="20">
        <f>IF(J191=0,0,K191+IF(M191&lt;=O191,'تنظیمات'!$B$7,0)+IF(M191=1,P191,0))</f>
        <v/>
      </c>
      <c r="R191" s="22">
        <f>'سطرهای تسهیم'!F25</f>
        <v/>
      </c>
      <c r="S191" s="22">
        <f>'سطرهای تسهیم'!G25</f>
        <v/>
      </c>
      <c r="T191" s="4">
        <f>IFERROR(INDEX('دسته‌ها'!$D$5:$D$25,MATCH(S191,'دسته‌ها'!$A$5:$A$25,0)),"خیر")</f>
        <v/>
      </c>
    </row>
    <row r="192">
      <c r="A192" s="22">
        <f>'سطرهای تسهیم'!A25</f>
        <v/>
      </c>
      <c r="B192" s="22">
        <f>'سطرهای تسهیم'!B25</f>
        <v/>
      </c>
      <c r="C192" s="22">
        <f>'واحدها'!A12</f>
        <v/>
      </c>
      <c r="D192" s="12">
        <f>'واحدها'!H12</f>
        <v/>
      </c>
      <c r="E192" s="22">
        <f>'سطرهای تسهیم'!D25</f>
        <v/>
      </c>
      <c r="F192" s="19">
        <f>'سطرهای تسهیم'!E25</f>
        <v/>
      </c>
      <c r="G192" s="12">
        <f>IF('واحدها'!F12="بله",'شمول'!I15,0)</f>
        <v/>
      </c>
      <c r="H192" s="10">
        <f>CHOOSE(MATCH(E192,'فهرست‌ها'!$A$4:$A$13,0),1,'واحدها'!E12,'واحدها'!D12*100,'واحدها'!J12,'واحدها'!J12,'وزن‌ها'!I15,'وزن‌ها'!I15,'واحدها'!K12,'واحدها'!L12,0)</f>
        <v/>
      </c>
      <c r="I192" s="10">
        <f>G192*H192</f>
        <v/>
      </c>
      <c r="J192" s="10">
        <f>SUMIFS($I$5:$I$265,$A$5:$A$265,A192)</f>
        <v/>
      </c>
      <c r="K192" s="20">
        <f>IF(J192=0,0,'تنظیمات'!$B$7*INT(F192*I192/(J192*'تنظیمات'!$B$7)))</f>
        <v/>
      </c>
      <c r="L192" s="10">
        <f>IF(J192=0,0,F192*I192-J192*'تنظیمات'!$B$7*INT(F192*I192/(J192*'تنظیمات'!$B$7)))</f>
        <v/>
      </c>
      <c r="M192" s="10">
        <f>1+COUNTIFS($A$5:$A$265,A192,$L$5:$L$265,"&gt;"&amp;L192)+COUNTIFS($A$5:$A$265,A192,$L$5:$L$265,L192,$D$5:$D$265,"&lt;"&amp;D192)</f>
        <v/>
      </c>
      <c r="N192" s="20">
        <f>IF(J192=0,0,F192-SUMIFS($K$5:$K$265,$A$5:$A$265,A192))</f>
        <v/>
      </c>
      <c r="O192" s="10">
        <f>INT(N192/'تنظیمات'!$B$7)</f>
        <v/>
      </c>
      <c r="P192" s="10">
        <f>N192-O192*'تنظیمات'!$B$7</f>
        <v/>
      </c>
      <c r="Q192" s="20">
        <f>IF(J192=0,0,K192+IF(M192&lt;=O192,'تنظیمات'!$B$7,0)+IF(M192=1,P192,0))</f>
        <v/>
      </c>
      <c r="R192" s="22">
        <f>'سطرهای تسهیم'!F25</f>
        <v/>
      </c>
      <c r="S192" s="22">
        <f>'سطرهای تسهیم'!G25</f>
        <v/>
      </c>
      <c r="T192" s="4">
        <f>IFERROR(INDEX('دسته‌ها'!$D$5:$D$25,MATCH(S192,'دسته‌ها'!$A$5:$A$25,0)),"خیر")</f>
        <v/>
      </c>
    </row>
    <row r="193">
      <c r="A193" s="22">
        <f>'سطرهای تسهیم'!A25</f>
        <v/>
      </c>
      <c r="B193" s="22">
        <f>'سطرهای تسهیم'!B25</f>
        <v/>
      </c>
      <c r="C193" s="22">
        <f>'واحدها'!A13</f>
        <v/>
      </c>
      <c r="D193" s="12">
        <f>'واحدها'!H13</f>
        <v/>
      </c>
      <c r="E193" s="22">
        <f>'سطرهای تسهیم'!D25</f>
        <v/>
      </c>
      <c r="F193" s="19">
        <f>'سطرهای تسهیم'!E25</f>
        <v/>
      </c>
      <c r="G193" s="12">
        <f>IF('واحدها'!F13="بله",'شمول'!J15,0)</f>
        <v/>
      </c>
      <c r="H193" s="10">
        <f>CHOOSE(MATCH(E193,'فهرست‌ها'!$A$4:$A$13,0),1,'واحدها'!E13,'واحدها'!D13*100,'واحدها'!J13,'واحدها'!J13,'وزن‌ها'!J15,'وزن‌ها'!J15,'واحدها'!K13,'واحدها'!L13,0)</f>
        <v/>
      </c>
      <c r="I193" s="10">
        <f>G193*H193</f>
        <v/>
      </c>
      <c r="J193" s="10">
        <f>SUMIFS($I$5:$I$265,$A$5:$A$265,A193)</f>
        <v/>
      </c>
      <c r="K193" s="20">
        <f>IF(J193=0,0,'تنظیمات'!$B$7*INT(F193*I193/(J193*'تنظیمات'!$B$7)))</f>
        <v/>
      </c>
      <c r="L193" s="10">
        <f>IF(J193=0,0,F193*I193-J193*'تنظیمات'!$B$7*INT(F193*I193/(J193*'تنظیمات'!$B$7)))</f>
        <v/>
      </c>
      <c r="M193" s="10">
        <f>1+COUNTIFS($A$5:$A$265,A193,$L$5:$L$265,"&gt;"&amp;L193)+COUNTIFS($A$5:$A$265,A193,$L$5:$L$265,L193,$D$5:$D$265,"&lt;"&amp;D193)</f>
        <v/>
      </c>
      <c r="N193" s="20">
        <f>IF(J193=0,0,F193-SUMIFS($K$5:$K$265,$A$5:$A$265,A193))</f>
        <v/>
      </c>
      <c r="O193" s="10">
        <f>INT(N193/'تنظیمات'!$B$7)</f>
        <v/>
      </c>
      <c r="P193" s="10">
        <f>N193-O193*'تنظیمات'!$B$7</f>
        <v/>
      </c>
      <c r="Q193" s="20">
        <f>IF(J193=0,0,K193+IF(M193&lt;=O193,'تنظیمات'!$B$7,0)+IF(M193=1,P193,0))</f>
        <v/>
      </c>
      <c r="R193" s="22">
        <f>'سطرهای تسهیم'!F25</f>
        <v/>
      </c>
      <c r="S193" s="22">
        <f>'سطرهای تسهیم'!G25</f>
        <v/>
      </c>
      <c r="T193" s="4">
        <f>IFERROR(INDEX('دسته‌ها'!$D$5:$D$25,MATCH(S193,'دسته‌ها'!$A$5:$A$25,0)),"خیر")</f>
        <v/>
      </c>
    </row>
    <row r="194">
      <c r="A194" s="22">
        <f>'سطرهای تسهیم'!A26</f>
        <v/>
      </c>
      <c r="B194" s="22">
        <f>'سطرهای تسهیم'!B26</f>
        <v/>
      </c>
      <c r="C194" s="22">
        <f>'واحدها'!A5</f>
        <v/>
      </c>
      <c r="D194" s="12">
        <f>'واحدها'!H5</f>
        <v/>
      </c>
      <c r="E194" s="22">
        <f>'سطرهای تسهیم'!D26</f>
        <v/>
      </c>
      <c r="F194" s="19">
        <f>'سطرهای تسهیم'!E26</f>
        <v/>
      </c>
      <c r="G194" s="12">
        <f>IF('واحدها'!F5="بله",'شمول'!B15,0)</f>
        <v/>
      </c>
      <c r="H194" s="10">
        <f>CHOOSE(MATCH(E194,'فهرست‌ها'!$A$4:$A$13,0),1,'واحدها'!E5,'واحدها'!D5*100,'واحدها'!J5,'واحدها'!J5,'وزن‌ها'!B15,'وزن‌ها'!B15,'واحدها'!K5,'واحدها'!L5,0)</f>
        <v/>
      </c>
      <c r="I194" s="10">
        <f>G194*H194</f>
        <v/>
      </c>
      <c r="J194" s="10">
        <f>SUMIFS($I$5:$I$265,$A$5:$A$265,A194)</f>
        <v/>
      </c>
      <c r="K194" s="20">
        <f>IF(J194=0,0,'تنظیمات'!$B$7*INT(F194*I194/(J194*'تنظیمات'!$B$7)))</f>
        <v/>
      </c>
      <c r="L194" s="10">
        <f>IF(J194=0,0,F194*I194-J194*'تنظیمات'!$B$7*INT(F194*I194/(J194*'تنظیمات'!$B$7)))</f>
        <v/>
      </c>
      <c r="M194" s="10">
        <f>1+COUNTIFS($A$5:$A$265,A194,$L$5:$L$265,"&gt;"&amp;L194)+COUNTIFS($A$5:$A$265,A194,$L$5:$L$265,L194,$D$5:$D$265,"&lt;"&amp;D194)</f>
        <v/>
      </c>
      <c r="N194" s="20">
        <f>IF(J194=0,0,F194-SUMIFS($K$5:$K$265,$A$5:$A$265,A194))</f>
        <v/>
      </c>
      <c r="O194" s="10">
        <f>INT(N194/'تنظیمات'!$B$7)</f>
        <v/>
      </c>
      <c r="P194" s="10">
        <f>N194-O194*'تنظیمات'!$B$7</f>
        <v/>
      </c>
      <c r="Q194" s="20">
        <f>IF(J194=0,0,K194+IF(M194&lt;=O194,'تنظیمات'!$B$7,0)+IF(M194=1,P194,0))</f>
        <v/>
      </c>
      <c r="R194" s="22">
        <f>'سطرهای تسهیم'!F26</f>
        <v/>
      </c>
      <c r="S194" s="22">
        <f>'سطرهای تسهیم'!G26</f>
        <v/>
      </c>
      <c r="T194" s="4">
        <f>IFERROR(INDEX('دسته‌ها'!$D$5:$D$25,MATCH(S194,'دسته‌ها'!$A$5:$A$25,0)),"خیر")</f>
        <v/>
      </c>
    </row>
    <row r="195">
      <c r="A195" s="22">
        <f>'سطرهای تسهیم'!A26</f>
        <v/>
      </c>
      <c r="B195" s="22">
        <f>'سطرهای تسهیم'!B26</f>
        <v/>
      </c>
      <c r="C195" s="22">
        <f>'واحدها'!A6</f>
        <v/>
      </c>
      <c r="D195" s="12">
        <f>'واحدها'!H6</f>
        <v/>
      </c>
      <c r="E195" s="22">
        <f>'سطرهای تسهیم'!D26</f>
        <v/>
      </c>
      <c r="F195" s="19">
        <f>'سطرهای تسهیم'!E26</f>
        <v/>
      </c>
      <c r="G195" s="12">
        <f>IF('واحدها'!F6="بله",'شمول'!C15,0)</f>
        <v/>
      </c>
      <c r="H195" s="10">
        <f>CHOOSE(MATCH(E195,'فهرست‌ها'!$A$4:$A$13,0),1,'واحدها'!E6,'واحدها'!D6*100,'واحدها'!J6,'واحدها'!J6,'وزن‌ها'!C15,'وزن‌ها'!C15,'واحدها'!K6,'واحدها'!L6,0)</f>
        <v/>
      </c>
      <c r="I195" s="10">
        <f>G195*H195</f>
        <v/>
      </c>
      <c r="J195" s="10">
        <f>SUMIFS($I$5:$I$265,$A$5:$A$265,A195)</f>
        <v/>
      </c>
      <c r="K195" s="20">
        <f>IF(J195=0,0,'تنظیمات'!$B$7*INT(F195*I195/(J195*'تنظیمات'!$B$7)))</f>
        <v/>
      </c>
      <c r="L195" s="10">
        <f>IF(J195=0,0,F195*I195-J195*'تنظیمات'!$B$7*INT(F195*I195/(J195*'تنظیمات'!$B$7)))</f>
        <v/>
      </c>
      <c r="M195" s="10">
        <f>1+COUNTIFS($A$5:$A$265,A195,$L$5:$L$265,"&gt;"&amp;L195)+COUNTIFS($A$5:$A$265,A195,$L$5:$L$265,L195,$D$5:$D$265,"&lt;"&amp;D195)</f>
        <v/>
      </c>
      <c r="N195" s="20">
        <f>IF(J195=0,0,F195-SUMIFS($K$5:$K$265,$A$5:$A$265,A195))</f>
        <v/>
      </c>
      <c r="O195" s="10">
        <f>INT(N195/'تنظیمات'!$B$7)</f>
        <v/>
      </c>
      <c r="P195" s="10">
        <f>N195-O195*'تنظیمات'!$B$7</f>
        <v/>
      </c>
      <c r="Q195" s="20">
        <f>IF(J195=0,0,K195+IF(M195&lt;=O195,'تنظیمات'!$B$7,0)+IF(M195=1,P195,0))</f>
        <v/>
      </c>
      <c r="R195" s="22">
        <f>'سطرهای تسهیم'!F26</f>
        <v/>
      </c>
      <c r="S195" s="22">
        <f>'سطرهای تسهیم'!G26</f>
        <v/>
      </c>
      <c r="T195" s="4">
        <f>IFERROR(INDEX('دسته‌ها'!$D$5:$D$25,MATCH(S195,'دسته‌ها'!$A$5:$A$25,0)),"خیر")</f>
        <v/>
      </c>
    </row>
    <row r="196">
      <c r="A196" s="22">
        <f>'سطرهای تسهیم'!A26</f>
        <v/>
      </c>
      <c r="B196" s="22">
        <f>'سطرهای تسهیم'!B26</f>
        <v/>
      </c>
      <c r="C196" s="22">
        <f>'واحدها'!A7</f>
        <v/>
      </c>
      <c r="D196" s="12">
        <f>'واحدها'!H7</f>
        <v/>
      </c>
      <c r="E196" s="22">
        <f>'سطرهای تسهیم'!D26</f>
        <v/>
      </c>
      <c r="F196" s="19">
        <f>'سطرهای تسهیم'!E26</f>
        <v/>
      </c>
      <c r="G196" s="12">
        <f>IF('واحدها'!F7="بله",'شمول'!D15,0)</f>
        <v/>
      </c>
      <c r="H196" s="10">
        <f>CHOOSE(MATCH(E196,'فهرست‌ها'!$A$4:$A$13,0),1,'واحدها'!E7,'واحدها'!D7*100,'واحدها'!J7,'واحدها'!J7,'وزن‌ها'!D15,'وزن‌ها'!D15,'واحدها'!K7,'واحدها'!L7,0)</f>
        <v/>
      </c>
      <c r="I196" s="10">
        <f>G196*H196</f>
        <v/>
      </c>
      <c r="J196" s="10">
        <f>SUMIFS($I$5:$I$265,$A$5:$A$265,A196)</f>
        <v/>
      </c>
      <c r="K196" s="20">
        <f>IF(J196=0,0,'تنظیمات'!$B$7*INT(F196*I196/(J196*'تنظیمات'!$B$7)))</f>
        <v/>
      </c>
      <c r="L196" s="10">
        <f>IF(J196=0,0,F196*I196-J196*'تنظیمات'!$B$7*INT(F196*I196/(J196*'تنظیمات'!$B$7)))</f>
        <v/>
      </c>
      <c r="M196" s="10">
        <f>1+COUNTIFS($A$5:$A$265,A196,$L$5:$L$265,"&gt;"&amp;L196)+COUNTIFS($A$5:$A$265,A196,$L$5:$L$265,L196,$D$5:$D$265,"&lt;"&amp;D196)</f>
        <v/>
      </c>
      <c r="N196" s="20">
        <f>IF(J196=0,0,F196-SUMIFS($K$5:$K$265,$A$5:$A$265,A196))</f>
        <v/>
      </c>
      <c r="O196" s="10">
        <f>INT(N196/'تنظیمات'!$B$7)</f>
        <v/>
      </c>
      <c r="P196" s="10">
        <f>N196-O196*'تنظیمات'!$B$7</f>
        <v/>
      </c>
      <c r="Q196" s="20">
        <f>IF(J196=0,0,K196+IF(M196&lt;=O196,'تنظیمات'!$B$7,0)+IF(M196=1,P196,0))</f>
        <v/>
      </c>
      <c r="R196" s="22">
        <f>'سطرهای تسهیم'!F26</f>
        <v/>
      </c>
      <c r="S196" s="22">
        <f>'سطرهای تسهیم'!G26</f>
        <v/>
      </c>
      <c r="T196" s="4">
        <f>IFERROR(INDEX('دسته‌ها'!$D$5:$D$25,MATCH(S196,'دسته‌ها'!$A$5:$A$25,0)),"خیر")</f>
        <v/>
      </c>
    </row>
    <row r="197">
      <c r="A197" s="22">
        <f>'سطرهای تسهیم'!A26</f>
        <v/>
      </c>
      <c r="B197" s="22">
        <f>'سطرهای تسهیم'!B26</f>
        <v/>
      </c>
      <c r="C197" s="22">
        <f>'واحدها'!A8</f>
        <v/>
      </c>
      <c r="D197" s="12">
        <f>'واحدها'!H8</f>
        <v/>
      </c>
      <c r="E197" s="22">
        <f>'سطرهای تسهیم'!D26</f>
        <v/>
      </c>
      <c r="F197" s="19">
        <f>'سطرهای تسهیم'!E26</f>
        <v/>
      </c>
      <c r="G197" s="12">
        <f>IF('واحدها'!F8="بله",'شمول'!E15,0)</f>
        <v/>
      </c>
      <c r="H197" s="10">
        <f>CHOOSE(MATCH(E197,'فهرست‌ها'!$A$4:$A$13,0),1,'واحدها'!E8,'واحدها'!D8*100,'واحدها'!J8,'واحدها'!J8,'وزن‌ها'!E15,'وزن‌ها'!E15,'واحدها'!K8,'واحدها'!L8,0)</f>
        <v/>
      </c>
      <c r="I197" s="10">
        <f>G197*H197</f>
        <v/>
      </c>
      <c r="J197" s="10">
        <f>SUMIFS($I$5:$I$265,$A$5:$A$265,A197)</f>
        <v/>
      </c>
      <c r="K197" s="20">
        <f>IF(J197=0,0,'تنظیمات'!$B$7*INT(F197*I197/(J197*'تنظیمات'!$B$7)))</f>
        <v/>
      </c>
      <c r="L197" s="10">
        <f>IF(J197=0,0,F197*I197-J197*'تنظیمات'!$B$7*INT(F197*I197/(J197*'تنظیمات'!$B$7)))</f>
        <v/>
      </c>
      <c r="M197" s="10">
        <f>1+COUNTIFS($A$5:$A$265,A197,$L$5:$L$265,"&gt;"&amp;L197)+COUNTIFS($A$5:$A$265,A197,$L$5:$L$265,L197,$D$5:$D$265,"&lt;"&amp;D197)</f>
        <v/>
      </c>
      <c r="N197" s="20">
        <f>IF(J197=0,0,F197-SUMIFS($K$5:$K$265,$A$5:$A$265,A197))</f>
        <v/>
      </c>
      <c r="O197" s="10">
        <f>INT(N197/'تنظیمات'!$B$7)</f>
        <v/>
      </c>
      <c r="P197" s="10">
        <f>N197-O197*'تنظیمات'!$B$7</f>
        <v/>
      </c>
      <c r="Q197" s="20">
        <f>IF(J197=0,0,K197+IF(M197&lt;=O197,'تنظیمات'!$B$7,0)+IF(M197=1,P197,0))</f>
        <v/>
      </c>
      <c r="R197" s="22">
        <f>'سطرهای تسهیم'!F26</f>
        <v/>
      </c>
      <c r="S197" s="22">
        <f>'سطرهای تسهیم'!G26</f>
        <v/>
      </c>
      <c r="T197" s="4">
        <f>IFERROR(INDEX('دسته‌ها'!$D$5:$D$25,MATCH(S197,'دسته‌ها'!$A$5:$A$25,0)),"خیر")</f>
        <v/>
      </c>
    </row>
    <row r="198">
      <c r="A198" s="22">
        <f>'سطرهای تسهیم'!A26</f>
        <v/>
      </c>
      <c r="B198" s="22">
        <f>'سطرهای تسهیم'!B26</f>
        <v/>
      </c>
      <c r="C198" s="22">
        <f>'واحدها'!A9</f>
        <v/>
      </c>
      <c r="D198" s="12">
        <f>'واحدها'!H9</f>
        <v/>
      </c>
      <c r="E198" s="22">
        <f>'سطرهای تسهیم'!D26</f>
        <v/>
      </c>
      <c r="F198" s="19">
        <f>'سطرهای تسهیم'!E26</f>
        <v/>
      </c>
      <c r="G198" s="12">
        <f>IF('واحدها'!F9="بله",'شمول'!F15,0)</f>
        <v/>
      </c>
      <c r="H198" s="10">
        <f>CHOOSE(MATCH(E198,'فهرست‌ها'!$A$4:$A$13,0),1,'واحدها'!E9,'واحدها'!D9*100,'واحدها'!J9,'واحدها'!J9,'وزن‌ها'!F15,'وزن‌ها'!F15,'واحدها'!K9,'واحدها'!L9,0)</f>
        <v/>
      </c>
      <c r="I198" s="10">
        <f>G198*H198</f>
        <v/>
      </c>
      <c r="J198" s="10">
        <f>SUMIFS($I$5:$I$265,$A$5:$A$265,A198)</f>
        <v/>
      </c>
      <c r="K198" s="20">
        <f>IF(J198=0,0,'تنظیمات'!$B$7*INT(F198*I198/(J198*'تنظیمات'!$B$7)))</f>
        <v/>
      </c>
      <c r="L198" s="10">
        <f>IF(J198=0,0,F198*I198-J198*'تنظیمات'!$B$7*INT(F198*I198/(J198*'تنظیمات'!$B$7)))</f>
        <v/>
      </c>
      <c r="M198" s="10">
        <f>1+COUNTIFS($A$5:$A$265,A198,$L$5:$L$265,"&gt;"&amp;L198)+COUNTIFS($A$5:$A$265,A198,$L$5:$L$265,L198,$D$5:$D$265,"&lt;"&amp;D198)</f>
        <v/>
      </c>
      <c r="N198" s="20">
        <f>IF(J198=0,0,F198-SUMIFS($K$5:$K$265,$A$5:$A$265,A198))</f>
        <v/>
      </c>
      <c r="O198" s="10">
        <f>INT(N198/'تنظیمات'!$B$7)</f>
        <v/>
      </c>
      <c r="P198" s="10">
        <f>N198-O198*'تنظیمات'!$B$7</f>
        <v/>
      </c>
      <c r="Q198" s="20">
        <f>IF(J198=0,0,K198+IF(M198&lt;=O198,'تنظیمات'!$B$7,0)+IF(M198=1,P198,0))</f>
        <v/>
      </c>
      <c r="R198" s="22">
        <f>'سطرهای تسهیم'!F26</f>
        <v/>
      </c>
      <c r="S198" s="22">
        <f>'سطرهای تسهیم'!G26</f>
        <v/>
      </c>
      <c r="T198" s="4">
        <f>IFERROR(INDEX('دسته‌ها'!$D$5:$D$25,MATCH(S198,'دسته‌ها'!$A$5:$A$25,0)),"خیر")</f>
        <v/>
      </c>
    </row>
    <row r="199">
      <c r="A199" s="22">
        <f>'سطرهای تسهیم'!A26</f>
        <v/>
      </c>
      <c r="B199" s="22">
        <f>'سطرهای تسهیم'!B26</f>
        <v/>
      </c>
      <c r="C199" s="22">
        <f>'واحدها'!A10</f>
        <v/>
      </c>
      <c r="D199" s="12">
        <f>'واحدها'!H10</f>
        <v/>
      </c>
      <c r="E199" s="22">
        <f>'سطرهای تسهیم'!D26</f>
        <v/>
      </c>
      <c r="F199" s="19">
        <f>'سطرهای تسهیم'!E26</f>
        <v/>
      </c>
      <c r="G199" s="12">
        <f>IF('واحدها'!F10="بله",'شمول'!G15,0)</f>
        <v/>
      </c>
      <c r="H199" s="10">
        <f>CHOOSE(MATCH(E199,'فهرست‌ها'!$A$4:$A$13,0),1,'واحدها'!E10,'واحدها'!D10*100,'واحدها'!J10,'واحدها'!J10,'وزن‌ها'!G15,'وزن‌ها'!G15,'واحدها'!K10,'واحدها'!L10,0)</f>
        <v/>
      </c>
      <c r="I199" s="10">
        <f>G199*H199</f>
        <v/>
      </c>
      <c r="J199" s="10">
        <f>SUMIFS($I$5:$I$265,$A$5:$A$265,A199)</f>
        <v/>
      </c>
      <c r="K199" s="20">
        <f>IF(J199=0,0,'تنظیمات'!$B$7*INT(F199*I199/(J199*'تنظیمات'!$B$7)))</f>
        <v/>
      </c>
      <c r="L199" s="10">
        <f>IF(J199=0,0,F199*I199-J199*'تنظیمات'!$B$7*INT(F199*I199/(J199*'تنظیمات'!$B$7)))</f>
        <v/>
      </c>
      <c r="M199" s="10">
        <f>1+COUNTIFS($A$5:$A$265,A199,$L$5:$L$265,"&gt;"&amp;L199)+COUNTIFS($A$5:$A$265,A199,$L$5:$L$265,L199,$D$5:$D$265,"&lt;"&amp;D199)</f>
        <v/>
      </c>
      <c r="N199" s="20">
        <f>IF(J199=0,0,F199-SUMIFS($K$5:$K$265,$A$5:$A$265,A199))</f>
        <v/>
      </c>
      <c r="O199" s="10">
        <f>INT(N199/'تنظیمات'!$B$7)</f>
        <v/>
      </c>
      <c r="P199" s="10">
        <f>N199-O199*'تنظیمات'!$B$7</f>
        <v/>
      </c>
      <c r="Q199" s="20">
        <f>IF(J199=0,0,K199+IF(M199&lt;=O199,'تنظیمات'!$B$7,0)+IF(M199=1,P199,0))</f>
        <v/>
      </c>
      <c r="R199" s="22">
        <f>'سطرهای تسهیم'!F26</f>
        <v/>
      </c>
      <c r="S199" s="22">
        <f>'سطرهای تسهیم'!G26</f>
        <v/>
      </c>
      <c r="T199" s="4">
        <f>IFERROR(INDEX('دسته‌ها'!$D$5:$D$25,MATCH(S199,'دسته‌ها'!$A$5:$A$25,0)),"خیر")</f>
        <v/>
      </c>
    </row>
    <row r="200">
      <c r="A200" s="22">
        <f>'سطرهای تسهیم'!A26</f>
        <v/>
      </c>
      <c r="B200" s="22">
        <f>'سطرهای تسهیم'!B26</f>
        <v/>
      </c>
      <c r="C200" s="22">
        <f>'واحدها'!A11</f>
        <v/>
      </c>
      <c r="D200" s="12">
        <f>'واحدها'!H11</f>
        <v/>
      </c>
      <c r="E200" s="22">
        <f>'سطرهای تسهیم'!D26</f>
        <v/>
      </c>
      <c r="F200" s="19">
        <f>'سطرهای تسهیم'!E26</f>
        <v/>
      </c>
      <c r="G200" s="12">
        <f>IF('واحدها'!F11="بله",'شمول'!H15,0)</f>
        <v/>
      </c>
      <c r="H200" s="10">
        <f>CHOOSE(MATCH(E200,'فهرست‌ها'!$A$4:$A$13,0),1,'واحدها'!E11,'واحدها'!D11*100,'واحدها'!J11,'واحدها'!J11,'وزن‌ها'!H15,'وزن‌ها'!H15,'واحدها'!K11,'واحدها'!L11,0)</f>
        <v/>
      </c>
      <c r="I200" s="10">
        <f>G200*H200</f>
        <v/>
      </c>
      <c r="J200" s="10">
        <f>SUMIFS($I$5:$I$265,$A$5:$A$265,A200)</f>
        <v/>
      </c>
      <c r="K200" s="20">
        <f>IF(J200=0,0,'تنظیمات'!$B$7*INT(F200*I200/(J200*'تنظیمات'!$B$7)))</f>
        <v/>
      </c>
      <c r="L200" s="10">
        <f>IF(J200=0,0,F200*I200-J200*'تنظیمات'!$B$7*INT(F200*I200/(J200*'تنظیمات'!$B$7)))</f>
        <v/>
      </c>
      <c r="M200" s="10">
        <f>1+COUNTIFS($A$5:$A$265,A200,$L$5:$L$265,"&gt;"&amp;L200)+COUNTIFS($A$5:$A$265,A200,$L$5:$L$265,L200,$D$5:$D$265,"&lt;"&amp;D200)</f>
        <v/>
      </c>
      <c r="N200" s="20">
        <f>IF(J200=0,0,F200-SUMIFS($K$5:$K$265,$A$5:$A$265,A200))</f>
        <v/>
      </c>
      <c r="O200" s="10">
        <f>INT(N200/'تنظیمات'!$B$7)</f>
        <v/>
      </c>
      <c r="P200" s="10">
        <f>N200-O200*'تنظیمات'!$B$7</f>
        <v/>
      </c>
      <c r="Q200" s="20">
        <f>IF(J200=0,0,K200+IF(M200&lt;=O200,'تنظیمات'!$B$7,0)+IF(M200=1,P200,0))</f>
        <v/>
      </c>
      <c r="R200" s="22">
        <f>'سطرهای تسهیم'!F26</f>
        <v/>
      </c>
      <c r="S200" s="22">
        <f>'سطرهای تسهیم'!G26</f>
        <v/>
      </c>
      <c r="T200" s="4">
        <f>IFERROR(INDEX('دسته‌ها'!$D$5:$D$25,MATCH(S200,'دسته‌ها'!$A$5:$A$25,0)),"خیر")</f>
        <v/>
      </c>
    </row>
    <row r="201">
      <c r="A201" s="22">
        <f>'سطرهای تسهیم'!A26</f>
        <v/>
      </c>
      <c r="B201" s="22">
        <f>'سطرهای تسهیم'!B26</f>
        <v/>
      </c>
      <c r="C201" s="22">
        <f>'واحدها'!A12</f>
        <v/>
      </c>
      <c r="D201" s="12">
        <f>'واحدها'!H12</f>
        <v/>
      </c>
      <c r="E201" s="22">
        <f>'سطرهای تسهیم'!D26</f>
        <v/>
      </c>
      <c r="F201" s="19">
        <f>'سطرهای تسهیم'!E26</f>
        <v/>
      </c>
      <c r="G201" s="12">
        <f>IF('واحدها'!F12="بله",'شمول'!I15,0)</f>
        <v/>
      </c>
      <c r="H201" s="10">
        <f>CHOOSE(MATCH(E201,'فهرست‌ها'!$A$4:$A$13,0),1,'واحدها'!E12,'واحدها'!D12*100,'واحدها'!J12,'واحدها'!J12,'وزن‌ها'!I15,'وزن‌ها'!I15,'واحدها'!K12,'واحدها'!L12,0)</f>
        <v/>
      </c>
      <c r="I201" s="10">
        <f>G201*H201</f>
        <v/>
      </c>
      <c r="J201" s="10">
        <f>SUMIFS($I$5:$I$265,$A$5:$A$265,A201)</f>
        <v/>
      </c>
      <c r="K201" s="20">
        <f>IF(J201=0,0,'تنظیمات'!$B$7*INT(F201*I201/(J201*'تنظیمات'!$B$7)))</f>
        <v/>
      </c>
      <c r="L201" s="10">
        <f>IF(J201=0,0,F201*I201-J201*'تنظیمات'!$B$7*INT(F201*I201/(J201*'تنظیمات'!$B$7)))</f>
        <v/>
      </c>
      <c r="M201" s="10">
        <f>1+COUNTIFS($A$5:$A$265,A201,$L$5:$L$265,"&gt;"&amp;L201)+COUNTIFS($A$5:$A$265,A201,$L$5:$L$265,L201,$D$5:$D$265,"&lt;"&amp;D201)</f>
        <v/>
      </c>
      <c r="N201" s="20">
        <f>IF(J201=0,0,F201-SUMIFS($K$5:$K$265,$A$5:$A$265,A201))</f>
        <v/>
      </c>
      <c r="O201" s="10">
        <f>INT(N201/'تنظیمات'!$B$7)</f>
        <v/>
      </c>
      <c r="P201" s="10">
        <f>N201-O201*'تنظیمات'!$B$7</f>
        <v/>
      </c>
      <c r="Q201" s="20">
        <f>IF(J201=0,0,K201+IF(M201&lt;=O201,'تنظیمات'!$B$7,0)+IF(M201=1,P201,0))</f>
        <v/>
      </c>
      <c r="R201" s="22">
        <f>'سطرهای تسهیم'!F26</f>
        <v/>
      </c>
      <c r="S201" s="22">
        <f>'سطرهای تسهیم'!G26</f>
        <v/>
      </c>
      <c r="T201" s="4">
        <f>IFERROR(INDEX('دسته‌ها'!$D$5:$D$25,MATCH(S201,'دسته‌ها'!$A$5:$A$25,0)),"خیر")</f>
        <v/>
      </c>
    </row>
    <row r="202">
      <c r="A202" s="22">
        <f>'سطرهای تسهیم'!A26</f>
        <v/>
      </c>
      <c r="B202" s="22">
        <f>'سطرهای تسهیم'!B26</f>
        <v/>
      </c>
      <c r="C202" s="22">
        <f>'واحدها'!A13</f>
        <v/>
      </c>
      <c r="D202" s="12">
        <f>'واحدها'!H13</f>
        <v/>
      </c>
      <c r="E202" s="22">
        <f>'سطرهای تسهیم'!D26</f>
        <v/>
      </c>
      <c r="F202" s="19">
        <f>'سطرهای تسهیم'!E26</f>
        <v/>
      </c>
      <c r="G202" s="12">
        <f>IF('واحدها'!F13="بله",'شمول'!J15,0)</f>
        <v/>
      </c>
      <c r="H202" s="10">
        <f>CHOOSE(MATCH(E202,'فهرست‌ها'!$A$4:$A$13,0),1,'واحدها'!E13,'واحدها'!D13*100,'واحدها'!J13,'واحدها'!J13,'وزن‌ها'!J15,'وزن‌ها'!J15,'واحدها'!K13,'واحدها'!L13,0)</f>
        <v/>
      </c>
      <c r="I202" s="10">
        <f>G202*H202</f>
        <v/>
      </c>
      <c r="J202" s="10">
        <f>SUMIFS($I$5:$I$265,$A$5:$A$265,A202)</f>
        <v/>
      </c>
      <c r="K202" s="20">
        <f>IF(J202=0,0,'تنظیمات'!$B$7*INT(F202*I202/(J202*'تنظیمات'!$B$7)))</f>
        <v/>
      </c>
      <c r="L202" s="10">
        <f>IF(J202=0,0,F202*I202-J202*'تنظیمات'!$B$7*INT(F202*I202/(J202*'تنظیمات'!$B$7)))</f>
        <v/>
      </c>
      <c r="M202" s="10">
        <f>1+COUNTIFS($A$5:$A$265,A202,$L$5:$L$265,"&gt;"&amp;L202)+COUNTIFS($A$5:$A$265,A202,$L$5:$L$265,L202,$D$5:$D$265,"&lt;"&amp;D202)</f>
        <v/>
      </c>
      <c r="N202" s="20">
        <f>IF(J202=0,0,F202-SUMIFS($K$5:$K$265,$A$5:$A$265,A202))</f>
        <v/>
      </c>
      <c r="O202" s="10">
        <f>INT(N202/'تنظیمات'!$B$7)</f>
        <v/>
      </c>
      <c r="P202" s="10">
        <f>N202-O202*'تنظیمات'!$B$7</f>
        <v/>
      </c>
      <c r="Q202" s="20">
        <f>IF(J202=0,0,K202+IF(M202&lt;=O202,'تنظیمات'!$B$7,0)+IF(M202=1,P202,0))</f>
        <v/>
      </c>
      <c r="R202" s="22">
        <f>'سطرهای تسهیم'!F26</f>
        <v/>
      </c>
      <c r="S202" s="22">
        <f>'سطرهای تسهیم'!G26</f>
        <v/>
      </c>
      <c r="T202" s="4">
        <f>IFERROR(INDEX('دسته‌ها'!$D$5:$D$25,MATCH(S202,'دسته‌ها'!$A$5:$A$25,0)),"خیر")</f>
        <v/>
      </c>
    </row>
    <row r="203">
      <c r="A203" s="22">
        <f>'سطرهای تسهیم'!A27</f>
        <v/>
      </c>
      <c r="B203" s="22">
        <f>'سطرهای تسهیم'!B27</f>
        <v/>
      </c>
      <c r="C203" s="22">
        <f>'واحدها'!A5</f>
        <v/>
      </c>
      <c r="D203" s="12">
        <f>'واحدها'!H5</f>
        <v/>
      </c>
      <c r="E203" s="22">
        <f>'سطرهای تسهیم'!D27</f>
        <v/>
      </c>
      <c r="F203" s="19">
        <f>'سطرهای تسهیم'!E27</f>
        <v/>
      </c>
      <c r="G203" s="12">
        <f>IF('واحدها'!F5="بله",'شمول'!B16,0)</f>
        <v/>
      </c>
      <c r="H203" s="10">
        <f>CHOOSE(MATCH(E203,'فهرست‌ها'!$A$4:$A$13,0),1,'واحدها'!E5,'واحدها'!D5*100,'واحدها'!J5,'واحدها'!J5,'وزن‌ها'!B16,'وزن‌ها'!B16,'واحدها'!K5,'واحدها'!L5,0)</f>
        <v/>
      </c>
      <c r="I203" s="10">
        <f>G203*H203</f>
        <v/>
      </c>
      <c r="J203" s="10">
        <f>SUMIFS($I$5:$I$265,$A$5:$A$265,A203)</f>
        <v/>
      </c>
      <c r="K203" s="20">
        <f>IF(J203=0,0,'تنظیمات'!$B$7*INT(F203*I203/(J203*'تنظیمات'!$B$7)))</f>
        <v/>
      </c>
      <c r="L203" s="10">
        <f>IF(J203=0,0,F203*I203-J203*'تنظیمات'!$B$7*INT(F203*I203/(J203*'تنظیمات'!$B$7)))</f>
        <v/>
      </c>
      <c r="M203" s="10">
        <f>1+COUNTIFS($A$5:$A$265,A203,$L$5:$L$265,"&gt;"&amp;L203)+COUNTIFS($A$5:$A$265,A203,$L$5:$L$265,L203,$D$5:$D$265,"&lt;"&amp;D203)</f>
        <v/>
      </c>
      <c r="N203" s="20">
        <f>IF(J203=0,0,F203-SUMIFS($K$5:$K$265,$A$5:$A$265,A203))</f>
        <v/>
      </c>
      <c r="O203" s="10">
        <f>INT(N203/'تنظیمات'!$B$7)</f>
        <v/>
      </c>
      <c r="P203" s="10">
        <f>N203-O203*'تنظیمات'!$B$7</f>
        <v/>
      </c>
      <c r="Q203" s="20">
        <f>IF(J203=0,0,K203+IF(M203&lt;=O203,'تنظیمات'!$B$7,0)+IF(M203=1,P203,0))</f>
        <v/>
      </c>
      <c r="R203" s="22">
        <f>'سطرهای تسهیم'!F27</f>
        <v/>
      </c>
      <c r="S203" s="22">
        <f>'سطرهای تسهیم'!G27</f>
        <v/>
      </c>
      <c r="T203" s="4">
        <f>IFERROR(INDEX('دسته‌ها'!$D$5:$D$25,MATCH(S203,'دسته‌ها'!$A$5:$A$25,0)),"خیر")</f>
        <v/>
      </c>
    </row>
    <row r="204">
      <c r="A204" s="22">
        <f>'سطرهای تسهیم'!A27</f>
        <v/>
      </c>
      <c r="B204" s="22">
        <f>'سطرهای تسهیم'!B27</f>
        <v/>
      </c>
      <c r="C204" s="22">
        <f>'واحدها'!A6</f>
        <v/>
      </c>
      <c r="D204" s="12">
        <f>'واحدها'!H6</f>
        <v/>
      </c>
      <c r="E204" s="22">
        <f>'سطرهای تسهیم'!D27</f>
        <v/>
      </c>
      <c r="F204" s="19">
        <f>'سطرهای تسهیم'!E27</f>
        <v/>
      </c>
      <c r="G204" s="12">
        <f>IF('واحدها'!F6="بله",'شمول'!C16,0)</f>
        <v/>
      </c>
      <c r="H204" s="10">
        <f>CHOOSE(MATCH(E204,'فهرست‌ها'!$A$4:$A$13,0),1,'واحدها'!E6,'واحدها'!D6*100,'واحدها'!J6,'واحدها'!J6,'وزن‌ها'!C16,'وزن‌ها'!C16,'واحدها'!K6,'واحدها'!L6,0)</f>
        <v/>
      </c>
      <c r="I204" s="10">
        <f>G204*H204</f>
        <v/>
      </c>
      <c r="J204" s="10">
        <f>SUMIFS($I$5:$I$265,$A$5:$A$265,A204)</f>
        <v/>
      </c>
      <c r="K204" s="20">
        <f>IF(J204=0,0,'تنظیمات'!$B$7*INT(F204*I204/(J204*'تنظیمات'!$B$7)))</f>
        <v/>
      </c>
      <c r="L204" s="10">
        <f>IF(J204=0,0,F204*I204-J204*'تنظیمات'!$B$7*INT(F204*I204/(J204*'تنظیمات'!$B$7)))</f>
        <v/>
      </c>
      <c r="M204" s="10">
        <f>1+COUNTIFS($A$5:$A$265,A204,$L$5:$L$265,"&gt;"&amp;L204)+COUNTIFS($A$5:$A$265,A204,$L$5:$L$265,L204,$D$5:$D$265,"&lt;"&amp;D204)</f>
        <v/>
      </c>
      <c r="N204" s="20">
        <f>IF(J204=0,0,F204-SUMIFS($K$5:$K$265,$A$5:$A$265,A204))</f>
        <v/>
      </c>
      <c r="O204" s="10">
        <f>INT(N204/'تنظیمات'!$B$7)</f>
        <v/>
      </c>
      <c r="P204" s="10">
        <f>N204-O204*'تنظیمات'!$B$7</f>
        <v/>
      </c>
      <c r="Q204" s="20">
        <f>IF(J204=0,0,K204+IF(M204&lt;=O204,'تنظیمات'!$B$7,0)+IF(M204=1,P204,0))</f>
        <v/>
      </c>
      <c r="R204" s="22">
        <f>'سطرهای تسهیم'!F27</f>
        <v/>
      </c>
      <c r="S204" s="22">
        <f>'سطرهای تسهیم'!G27</f>
        <v/>
      </c>
      <c r="T204" s="4">
        <f>IFERROR(INDEX('دسته‌ها'!$D$5:$D$25,MATCH(S204,'دسته‌ها'!$A$5:$A$25,0)),"خیر")</f>
        <v/>
      </c>
    </row>
    <row r="205">
      <c r="A205" s="22">
        <f>'سطرهای تسهیم'!A27</f>
        <v/>
      </c>
      <c r="B205" s="22">
        <f>'سطرهای تسهیم'!B27</f>
        <v/>
      </c>
      <c r="C205" s="22">
        <f>'واحدها'!A7</f>
        <v/>
      </c>
      <c r="D205" s="12">
        <f>'واحدها'!H7</f>
        <v/>
      </c>
      <c r="E205" s="22">
        <f>'سطرهای تسهیم'!D27</f>
        <v/>
      </c>
      <c r="F205" s="19">
        <f>'سطرهای تسهیم'!E27</f>
        <v/>
      </c>
      <c r="G205" s="12">
        <f>IF('واحدها'!F7="بله",'شمول'!D16,0)</f>
        <v/>
      </c>
      <c r="H205" s="10">
        <f>CHOOSE(MATCH(E205,'فهرست‌ها'!$A$4:$A$13,0),1,'واحدها'!E7,'واحدها'!D7*100,'واحدها'!J7,'واحدها'!J7,'وزن‌ها'!D16,'وزن‌ها'!D16,'واحدها'!K7,'واحدها'!L7,0)</f>
        <v/>
      </c>
      <c r="I205" s="10">
        <f>G205*H205</f>
        <v/>
      </c>
      <c r="J205" s="10">
        <f>SUMIFS($I$5:$I$265,$A$5:$A$265,A205)</f>
        <v/>
      </c>
      <c r="K205" s="20">
        <f>IF(J205=0,0,'تنظیمات'!$B$7*INT(F205*I205/(J205*'تنظیمات'!$B$7)))</f>
        <v/>
      </c>
      <c r="L205" s="10">
        <f>IF(J205=0,0,F205*I205-J205*'تنظیمات'!$B$7*INT(F205*I205/(J205*'تنظیمات'!$B$7)))</f>
        <v/>
      </c>
      <c r="M205" s="10">
        <f>1+COUNTIFS($A$5:$A$265,A205,$L$5:$L$265,"&gt;"&amp;L205)+COUNTIFS($A$5:$A$265,A205,$L$5:$L$265,L205,$D$5:$D$265,"&lt;"&amp;D205)</f>
        <v/>
      </c>
      <c r="N205" s="20">
        <f>IF(J205=0,0,F205-SUMIFS($K$5:$K$265,$A$5:$A$265,A205))</f>
        <v/>
      </c>
      <c r="O205" s="10">
        <f>INT(N205/'تنظیمات'!$B$7)</f>
        <v/>
      </c>
      <c r="P205" s="10">
        <f>N205-O205*'تنظیمات'!$B$7</f>
        <v/>
      </c>
      <c r="Q205" s="20">
        <f>IF(J205=0,0,K205+IF(M205&lt;=O205,'تنظیمات'!$B$7,0)+IF(M205=1,P205,0))</f>
        <v/>
      </c>
      <c r="R205" s="22">
        <f>'سطرهای تسهیم'!F27</f>
        <v/>
      </c>
      <c r="S205" s="22">
        <f>'سطرهای تسهیم'!G27</f>
        <v/>
      </c>
      <c r="T205" s="4">
        <f>IFERROR(INDEX('دسته‌ها'!$D$5:$D$25,MATCH(S205,'دسته‌ها'!$A$5:$A$25,0)),"خیر")</f>
        <v/>
      </c>
    </row>
    <row r="206">
      <c r="A206" s="22">
        <f>'سطرهای تسهیم'!A27</f>
        <v/>
      </c>
      <c r="B206" s="22">
        <f>'سطرهای تسهیم'!B27</f>
        <v/>
      </c>
      <c r="C206" s="22">
        <f>'واحدها'!A8</f>
        <v/>
      </c>
      <c r="D206" s="12">
        <f>'واحدها'!H8</f>
        <v/>
      </c>
      <c r="E206" s="22">
        <f>'سطرهای تسهیم'!D27</f>
        <v/>
      </c>
      <c r="F206" s="19">
        <f>'سطرهای تسهیم'!E27</f>
        <v/>
      </c>
      <c r="G206" s="12">
        <f>IF('واحدها'!F8="بله",'شمول'!E16,0)</f>
        <v/>
      </c>
      <c r="H206" s="10">
        <f>CHOOSE(MATCH(E206,'فهرست‌ها'!$A$4:$A$13,0),1,'واحدها'!E8,'واحدها'!D8*100,'واحدها'!J8,'واحدها'!J8,'وزن‌ها'!E16,'وزن‌ها'!E16,'واحدها'!K8,'واحدها'!L8,0)</f>
        <v/>
      </c>
      <c r="I206" s="10">
        <f>G206*H206</f>
        <v/>
      </c>
      <c r="J206" s="10">
        <f>SUMIFS($I$5:$I$265,$A$5:$A$265,A206)</f>
        <v/>
      </c>
      <c r="K206" s="20">
        <f>IF(J206=0,0,'تنظیمات'!$B$7*INT(F206*I206/(J206*'تنظیمات'!$B$7)))</f>
        <v/>
      </c>
      <c r="L206" s="10">
        <f>IF(J206=0,0,F206*I206-J206*'تنظیمات'!$B$7*INT(F206*I206/(J206*'تنظیمات'!$B$7)))</f>
        <v/>
      </c>
      <c r="M206" s="10">
        <f>1+COUNTIFS($A$5:$A$265,A206,$L$5:$L$265,"&gt;"&amp;L206)+COUNTIFS($A$5:$A$265,A206,$L$5:$L$265,L206,$D$5:$D$265,"&lt;"&amp;D206)</f>
        <v/>
      </c>
      <c r="N206" s="20">
        <f>IF(J206=0,0,F206-SUMIFS($K$5:$K$265,$A$5:$A$265,A206))</f>
        <v/>
      </c>
      <c r="O206" s="10">
        <f>INT(N206/'تنظیمات'!$B$7)</f>
        <v/>
      </c>
      <c r="P206" s="10">
        <f>N206-O206*'تنظیمات'!$B$7</f>
        <v/>
      </c>
      <c r="Q206" s="20">
        <f>IF(J206=0,0,K206+IF(M206&lt;=O206,'تنظیمات'!$B$7,0)+IF(M206=1,P206,0))</f>
        <v/>
      </c>
      <c r="R206" s="22">
        <f>'سطرهای تسهیم'!F27</f>
        <v/>
      </c>
      <c r="S206" s="22">
        <f>'سطرهای تسهیم'!G27</f>
        <v/>
      </c>
      <c r="T206" s="4">
        <f>IFERROR(INDEX('دسته‌ها'!$D$5:$D$25,MATCH(S206,'دسته‌ها'!$A$5:$A$25,0)),"خیر")</f>
        <v/>
      </c>
    </row>
    <row r="207">
      <c r="A207" s="22">
        <f>'سطرهای تسهیم'!A27</f>
        <v/>
      </c>
      <c r="B207" s="22">
        <f>'سطرهای تسهیم'!B27</f>
        <v/>
      </c>
      <c r="C207" s="22">
        <f>'واحدها'!A9</f>
        <v/>
      </c>
      <c r="D207" s="12">
        <f>'واحدها'!H9</f>
        <v/>
      </c>
      <c r="E207" s="22">
        <f>'سطرهای تسهیم'!D27</f>
        <v/>
      </c>
      <c r="F207" s="19">
        <f>'سطرهای تسهیم'!E27</f>
        <v/>
      </c>
      <c r="G207" s="12">
        <f>IF('واحدها'!F9="بله",'شمول'!F16,0)</f>
        <v/>
      </c>
      <c r="H207" s="10">
        <f>CHOOSE(MATCH(E207,'فهرست‌ها'!$A$4:$A$13,0),1,'واحدها'!E9,'واحدها'!D9*100,'واحدها'!J9,'واحدها'!J9,'وزن‌ها'!F16,'وزن‌ها'!F16,'واحدها'!K9,'واحدها'!L9,0)</f>
        <v/>
      </c>
      <c r="I207" s="10">
        <f>G207*H207</f>
        <v/>
      </c>
      <c r="J207" s="10">
        <f>SUMIFS($I$5:$I$265,$A$5:$A$265,A207)</f>
        <v/>
      </c>
      <c r="K207" s="20">
        <f>IF(J207=0,0,'تنظیمات'!$B$7*INT(F207*I207/(J207*'تنظیمات'!$B$7)))</f>
        <v/>
      </c>
      <c r="L207" s="10">
        <f>IF(J207=0,0,F207*I207-J207*'تنظیمات'!$B$7*INT(F207*I207/(J207*'تنظیمات'!$B$7)))</f>
        <v/>
      </c>
      <c r="M207" s="10">
        <f>1+COUNTIFS($A$5:$A$265,A207,$L$5:$L$265,"&gt;"&amp;L207)+COUNTIFS($A$5:$A$265,A207,$L$5:$L$265,L207,$D$5:$D$265,"&lt;"&amp;D207)</f>
        <v/>
      </c>
      <c r="N207" s="20">
        <f>IF(J207=0,0,F207-SUMIFS($K$5:$K$265,$A$5:$A$265,A207))</f>
        <v/>
      </c>
      <c r="O207" s="10">
        <f>INT(N207/'تنظیمات'!$B$7)</f>
        <v/>
      </c>
      <c r="P207" s="10">
        <f>N207-O207*'تنظیمات'!$B$7</f>
        <v/>
      </c>
      <c r="Q207" s="20">
        <f>IF(J207=0,0,K207+IF(M207&lt;=O207,'تنظیمات'!$B$7,0)+IF(M207=1,P207,0))</f>
        <v/>
      </c>
      <c r="R207" s="22">
        <f>'سطرهای تسهیم'!F27</f>
        <v/>
      </c>
      <c r="S207" s="22">
        <f>'سطرهای تسهیم'!G27</f>
        <v/>
      </c>
      <c r="T207" s="4">
        <f>IFERROR(INDEX('دسته‌ها'!$D$5:$D$25,MATCH(S207,'دسته‌ها'!$A$5:$A$25,0)),"خیر")</f>
        <v/>
      </c>
    </row>
    <row r="208">
      <c r="A208" s="22">
        <f>'سطرهای تسهیم'!A27</f>
        <v/>
      </c>
      <c r="B208" s="22">
        <f>'سطرهای تسهیم'!B27</f>
        <v/>
      </c>
      <c r="C208" s="22">
        <f>'واحدها'!A10</f>
        <v/>
      </c>
      <c r="D208" s="12">
        <f>'واحدها'!H10</f>
        <v/>
      </c>
      <c r="E208" s="22">
        <f>'سطرهای تسهیم'!D27</f>
        <v/>
      </c>
      <c r="F208" s="19">
        <f>'سطرهای تسهیم'!E27</f>
        <v/>
      </c>
      <c r="G208" s="12">
        <f>IF('واحدها'!F10="بله",'شمول'!G16,0)</f>
        <v/>
      </c>
      <c r="H208" s="10">
        <f>CHOOSE(MATCH(E208,'فهرست‌ها'!$A$4:$A$13,0),1,'واحدها'!E10,'واحدها'!D10*100,'واحدها'!J10,'واحدها'!J10,'وزن‌ها'!G16,'وزن‌ها'!G16,'واحدها'!K10,'واحدها'!L10,0)</f>
        <v/>
      </c>
      <c r="I208" s="10">
        <f>G208*H208</f>
        <v/>
      </c>
      <c r="J208" s="10">
        <f>SUMIFS($I$5:$I$265,$A$5:$A$265,A208)</f>
        <v/>
      </c>
      <c r="K208" s="20">
        <f>IF(J208=0,0,'تنظیمات'!$B$7*INT(F208*I208/(J208*'تنظیمات'!$B$7)))</f>
        <v/>
      </c>
      <c r="L208" s="10">
        <f>IF(J208=0,0,F208*I208-J208*'تنظیمات'!$B$7*INT(F208*I208/(J208*'تنظیمات'!$B$7)))</f>
        <v/>
      </c>
      <c r="M208" s="10">
        <f>1+COUNTIFS($A$5:$A$265,A208,$L$5:$L$265,"&gt;"&amp;L208)+COUNTIFS($A$5:$A$265,A208,$L$5:$L$265,L208,$D$5:$D$265,"&lt;"&amp;D208)</f>
        <v/>
      </c>
      <c r="N208" s="20">
        <f>IF(J208=0,0,F208-SUMIFS($K$5:$K$265,$A$5:$A$265,A208))</f>
        <v/>
      </c>
      <c r="O208" s="10">
        <f>INT(N208/'تنظیمات'!$B$7)</f>
        <v/>
      </c>
      <c r="P208" s="10">
        <f>N208-O208*'تنظیمات'!$B$7</f>
        <v/>
      </c>
      <c r="Q208" s="20">
        <f>IF(J208=0,0,K208+IF(M208&lt;=O208,'تنظیمات'!$B$7,0)+IF(M208=1,P208,0))</f>
        <v/>
      </c>
      <c r="R208" s="22">
        <f>'سطرهای تسهیم'!F27</f>
        <v/>
      </c>
      <c r="S208" s="22">
        <f>'سطرهای تسهیم'!G27</f>
        <v/>
      </c>
      <c r="T208" s="4">
        <f>IFERROR(INDEX('دسته‌ها'!$D$5:$D$25,MATCH(S208,'دسته‌ها'!$A$5:$A$25,0)),"خیر")</f>
        <v/>
      </c>
    </row>
    <row r="209">
      <c r="A209" s="22">
        <f>'سطرهای تسهیم'!A27</f>
        <v/>
      </c>
      <c r="B209" s="22">
        <f>'سطرهای تسهیم'!B27</f>
        <v/>
      </c>
      <c r="C209" s="22">
        <f>'واحدها'!A11</f>
        <v/>
      </c>
      <c r="D209" s="12">
        <f>'واحدها'!H11</f>
        <v/>
      </c>
      <c r="E209" s="22">
        <f>'سطرهای تسهیم'!D27</f>
        <v/>
      </c>
      <c r="F209" s="19">
        <f>'سطرهای تسهیم'!E27</f>
        <v/>
      </c>
      <c r="G209" s="12">
        <f>IF('واحدها'!F11="بله",'شمول'!H16,0)</f>
        <v/>
      </c>
      <c r="H209" s="10">
        <f>CHOOSE(MATCH(E209,'فهرست‌ها'!$A$4:$A$13,0),1,'واحدها'!E11,'واحدها'!D11*100,'واحدها'!J11,'واحدها'!J11,'وزن‌ها'!H16,'وزن‌ها'!H16,'واحدها'!K11,'واحدها'!L11,0)</f>
        <v/>
      </c>
      <c r="I209" s="10">
        <f>G209*H209</f>
        <v/>
      </c>
      <c r="J209" s="10">
        <f>SUMIFS($I$5:$I$265,$A$5:$A$265,A209)</f>
        <v/>
      </c>
      <c r="K209" s="20">
        <f>IF(J209=0,0,'تنظیمات'!$B$7*INT(F209*I209/(J209*'تنظیمات'!$B$7)))</f>
        <v/>
      </c>
      <c r="L209" s="10">
        <f>IF(J209=0,0,F209*I209-J209*'تنظیمات'!$B$7*INT(F209*I209/(J209*'تنظیمات'!$B$7)))</f>
        <v/>
      </c>
      <c r="M209" s="10">
        <f>1+COUNTIFS($A$5:$A$265,A209,$L$5:$L$265,"&gt;"&amp;L209)+COUNTIFS($A$5:$A$265,A209,$L$5:$L$265,L209,$D$5:$D$265,"&lt;"&amp;D209)</f>
        <v/>
      </c>
      <c r="N209" s="20">
        <f>IF(J209=0,0,F209-SUMIFS($K$5:$K$265,$A$5:$A$265,A209))</f>
        <v/>
      </c>
      <c r="O209" s="10">
        <f>INT(N209/'تنظیمات'!$B$7)</f>
        <v/>
      </c>
      <c r="P209" s="10">
        <f>N209-O209*'تنظیمات'!$B$7</f>
        <v/>
      </c>
      <c r="Q209" s="20">
        <f>IF(J209=0,0,K209+IF(M209&lt;=O209,'تنظیمات'!$B$7,0)+IF(M209=1,P209,0))</f>
        <v/>
      </c>
      <c r="R209" s="22">
        <f>'سطرهای تسهیم'!F27</f>
        <v/>
      </c>
      <c r="S209" s="22">
        <f>'سطرهای تسهیم'!G27</f>
        <v/>
      </c>
      <c r="T209" s="4">
        <f>IFERROR(INDEX('دسته‌ها'!$D$5:$D$25,MATCH(S209,'دسته‌ها'!$A$5:$A$25,0)),"خیر")</f>
        <v/>
      </c>
    </row>
    <row r="210">
      <c r="A210" s="22">
        <f>'سطرهای تسهیم'!A27</f>
        <v/>
      </c>
      <c r="B210" s="22">
        <f>'سطرهای تسهیم'!B27</f>
        <v/>
      </c>
      <c r="C210" s="22">
        <f>'واحدها'!A12</f>
        <v/>
      </c>
      <c r="D210" s="12">
        <f>'واحدها'!H12</f>
        <v/>
      </c>
      <c r="E210" s="22">
        <f>'سطرهای تسهیم'!D27</f>
        <v/>
      </c>
      <c r="F210" s="19">
        <f>'سطرهای تسهیم'!E27</f>
        <v/>
      </c>
      <c r="G210" s="12">
        <f>IF('واحدها'!F12="بله",'شمول'!I16,0)</f>
        <v/>
      </c>
      <c r="H210" s="10">
        <f>CHOOSE(MATCH(E210,'فهرست‌ها'!$A$4:$A$13,0),1,'واحدها'!E12,'واحدها'!D12*100,'واحدها'!J12,'واحدها'!J12,'وزن‌ها'!I16,'وزن‌ها'!I16,'واحدها'!K12,'واحدها'!L12,0)</f>
        <v/>
      </c>
      <c r="I210" s="10">
        <f>G210*H210</f>
        <v/>
      </c>
      <c r="J210" s="10">
        <f>SUMIFS($I$5:$I$265,$A$5:$A$265,A210)</f>
        <v/>
      </c>
      <c r="K210" s="20">
        <f>IF(J210=0,0,'تنظیمات'!$B$7*INT(F210*I210/(J210*'تنظیمات'!$B$7)))</f>
        <v/>
      </c>
      <c r="L210" s="10">
        <f>IF(J210=0,0,F210*I210-J210*'تنظیمات'!$B$7*INT(F210*I210/(J210*'تنظیمات'!$B$7)))</f>
        <v/>
      </c>
      <c r="M210" s="10">
        <f>1+COUNTIFS($A$5:$A$265,A210,$L$5:$L$265,"&gt;"&amp;L210)+COUNTIFS($A$5:$A$265,A210,$L$5:$L$265,L210,$D$5:$D$265,"&lt;"&amp;D210)</f>
        <v/>
      </c>
      <c r="N210" s="20">
        <f>IF(J210=0,0,F210-SUMIFS($K$5:$K$265,$A$5:$A$265,A210))</f>
        <v/>
      </c>
      <c r="O210" s="10">
        <f>INT(N210/'تنظیمات'!$B$7)</f>
        <v/>
      </c>
      <c r="P210" s="10">
        <f>N210-O210*'تنظیمات'!$B$7</f>
        <v/>
      </c>
      <c r="Q210" s="20">
        <f>IF(J210=0,0,K210+IF(M210&lt;=O210,'تنظیمات'!$B$7,0)+IF(M210=1,P210,0))</f>
        <v/>
      </c>
      <c r="R210" s="22">
        <f>'سطرهای تسهیم'!F27</f>
        <v/>
      </c>
      <c r="S210" s="22">
        <f>'سطرهای تسهیم'!G27</f>
        <v/>
      </c>
      <c r="T210" s="4">
        <f>IFERROR(INDEX('دسته‌ها'!$D$5:$D$25,MATCH(S210,'دسته‌ها'!$A$5:$A$25,0)),"خیر")</f>
        <v/>
      </c>
    </row>
    <row r="211">
      <c r="A211" s="22">
        <f>'سطرهای تسهیم'!A27</f>
        <v/>
      </c>
      <c r="B211" s="22">
        <f>'سطرهای تسهیم'!B27</f>
        <v/>
      </c>
      <c r="C211" s="22">
        <f>'واحدها'!A13</f>
        <v/>
      </c>
      <c r="D211" s="12">
        <f>'واحدها'!H13</f>
        <v/>
      </c>
      <c r="E211" s="22">
        <f>'سطرهای تسهیم'!D27</f>
        <v/>
      </c>
      <c r="F211" s="19">
        <f>'سطرهای تسهیم'!E27</f>
        <v/>
      </c>
      <c r="G211" s="12">
        <f>IF('واحدها'!F13="بله",'شمول'!J16,0)</f>
        <v/>
      </c>
      <c r="H211" s="10">
        <f>CHOOSE(MATCH(E211,'فهرست‌ها'!$A$4:$A$13,0),1,'واحدها'!E13,'واحدها'!D13*100,'واحدها'!J13,'واحدها'!J13,'وزن‌ها'!J16,'وزن‌ها'!J16,'واحدها'!K13,'واحدها'!L13,0)</f>
        <v/>
      </c>
      <c r="I211" s="10">
        <f>G211*H211</f>
        <v/>
      </c>
      <c r="J211" s="10">
        <f>SUMIFS($I$5:$I$265,$A$5:$A$265,A211)</f>
        <v/>
      </c>
      <c r="K211" s="20">
        <f>IF(J211=0,0,'تنظیمات'!$B$7*INT(F211*I211/(J211*'تنظیمات'!$B$7)))</f>
        <v/>
      </c>
      <c r="L211" s="10">
        <f>IF(J211=0,0,F211*I211-J211*'تنظیمات'!$B$7*INT(F211*I211/(J211*'تنظیمات'!$B$7)))</f>
        <v/>
      </c>
      <c r="M211" s="10">
        <f>1+COUNTIFS($A$5:$A$265,A211,$L$5:$L$265,"&gt;"&amp;L211)+COUNTIFS($A$5:$A$265,A211,$L$5:$L$265,L211,$D$5:$D$265,"&lt;"&amp;D211)</f>
        <v/>
      </c>
      <c r="N211" s="20">
        <f>IF(J211=0,0,F211-SUMIFS($K$5:$K$265,$A$5:$A$265,A211))</f>
        <v/>
      </c>
      <c r="O211" s="10">
        <f>INT(N211/'تنظیمات'!$B$7)</f>
        <v/>
      </c>
      <c r="P211" s="10">
        <f>N211-O211*'تنظیمات'!$B$7</f>
        <v/>
      </c>
      <c r="Q211" s="20">
        <f>IF(J211=0,0,K211+IF(M211&lt;=O211,'تنظیمات'!$B$7,0)+IF(M211=1,P211,0))</f>
        <v/>
      </c>
      <c r="R211" s="22">
        <f>'سطرهای تسهیم'!F27</f>
        <v/>
      </c>
      <c r="S211" s="22">
        <f>'سطرهای تسهیم'!G27</f>
        <v/>
      </c>
      <c r="T211" s="4">
        <f>IFERROR(INDEX('دسته‌ها'!$D$5:$D$25,MATCH(S211,'دسته‌ها'!$A$5:$A$25,0)),"خیر")</f>
        <v/>
      </c>
    </row>
    <row r="212">
      <c r="A212" s="22">
        <f>'سطرهای تسهیم'!A28</f>
        <v/>
      </c>
      <c r="B212" s="22">
        <f>'سطرهای تسهیم'!B28</f>
        <v/>
      </c>
      <c r="C212" s="22">
        <f>'واحدها'!A5</f>
        <v/>
      </c>
      <c r="D212" s="12">
        <f>'واحدها'!H5</f>
        <v/>
      </c>
      <c r="E212" s="22">
        <f>'سطرهای تسهیم'!D28</f>
        <v/>
      </c>
      <c r="F212" s="19">
        <f>'سطرهای تسهیم'!E28</f>
        <v/>
      </c>
      <c r="G212" s="12">
        <f>IF('واحدها'!F5="بله",'شمول'!B16,0)</f>
        <v/>
      </c>
      <c r="H212" s="10">
        <f>CHOOSE(MATCH(E212,'فهرست‌ها'!$A$4:$A$13,0),1,'واحدها'!E5,'واحدها'!D5*100,'واحدها'!J5,'واحدها'!J5,'وزن‌ها'!B16,'وزن‌ها'!B16,'واحدها'!K5,'واحدها'!L5,0)</f>
        <v/>
      </c>
      <c r="I212" s="10">
        <f>G212*H212</f>
        <v/>
      </c>
      <c r="J212" s="10">
        <f>SUMIFS($I$5:$I$265,$A$5:$A$265,A212)</f>
        <v/>
      </c>
      <c r="K212" s="20">
        <f>IF(J212=0,0,'تنظیمات'!$B$7*INT(F212*I212/(J212*'تنظیمات'!$B$7)))</f>
        <v/>
      </c>
      <c r="L212" s="10">
        <f>IF(J212=0,0,F212*I212-J212*'تنظیمات'!$B$7*INT(F212*I212/(J212*'تنظیمات'!$B$7)))</f>
        <v/>
      </c>
      <c r="M212" s="10">
        <f>1+COUNTIFS($A$5:$A$265,A212,$L$5:$L$265,"&gt;"&amp;L212)+COUNTIFS($A$5:$A$265,A212,$L$5:$L$265,L212,$D$5:$D$265,"&lt;"&amp;D212)</f>
        <v/>
      </c>
      <c r="N212" s="20">
        <f>IF(J212=0,0,F212-SUMIFS($K$5:$K$265,$A$5:$A$265,A212))</f>
        <v/>
      </c>
      <c r="O212" s="10">
        <f>INT(N212/'تنظیمات'!$B$7)</f>
        <v/>
      </c>
      <c r="P212" s="10">
        <f>N212-O212*'تنظیمات'!$B$7</f>
        <v/>
      </c>
      <c r="Q212" s="20">
        <f>IF(J212=0,0,K212+IF(M212&lt;=O212,'تنظیمات'!$B$7,0)+IF(M212=1,P212,0))</f>
        <v/>
      </c>
      <c r="R212" s="22">
        <f>'سطرهای تسهیم'!F28</f>
        <v/>
      </c>
      <c r="S212" s="22">
        <f>'سطرهای تسهیم'!G28</f>
        <v/>
      </c>
      <c r="T212" s="4">
        <f>IFERROR(INDEX('دسته‌ها'!$D$5:$D$25,MATCH(S212,'دسته‌ها'!$A$5:$A$25,0)),"خیر")</f>
        <v/>
      </c>
    </row>
    <row r="213">
      <c r="A213" s="22">
        <f>'سطرهای تسهیم'!A28</f>
        <v/>
      </c>
      <c r="B213" s="22">
        <f>'سطرهای تسهیم'!B28</f>
        <v/>
      </c>
      <c r="C213" s="22">
        <f>'واحدها'!A6</f>
        <v/>
      </c>
      <c r="D213" s="12">
        <f>'واحدها'!H6</f>
        <v/>
      </c>
      <c r="E213" s="22">
        <f>'سطرهای تسهیم'!D28</f>
        <v/>
      </c>
      <c r="F213" s="19">
        <f>'سطرهای تسهیم'!E28</f>
        <v/>
      </c>
      <c r="G213" s="12">
        <f>IF('واحدها'!F6="بله",'شمول'!C16,0)</f>
        <v/>
      </c>
      <c r="H213" s="10">
        <f>CHOOSE(MATCH(E213,'فهرست‌ها'!$A$4:$A$13,0),1,'واحدها'!E6,'واحدها'!D6*100,'واحدها'!J6,'واحدها'!J6,'وزن‌ها'!C16,'وزن‌ها'!C16,'واحدها'!K6,'واحدها'!L6,0)</f>
        <v/>
      </c>
      <c r="I213" s="10">
        <f>G213*H213</f>
        <v/>
      </c>
      <c r="J213" s="10">
        <f>SUMIFS($I$5:$I$265,$A$5:$A$265,A213)</f>
        <v/>
      </c>
      <c r="K213" s="20">
        <f>IF(J213=0,0,'تنظیمات'!$B$7*INT(F213*I213/(J213*'تنظیمات'!$B$7)))</f>
        <v/>
      </c>
      <c r="L213" s="10">
        <f>IF(J213=0,0,F213*I213-J213*'تنظیمات'!$B$7*INT(F213*I213/(J213*'تنظیمات'!$B$7)))</f>
        <v/>
      </c>
      <c r="M213" s="10">
        <f>1+COUNTIFS($A$5:$A$265,A213,$L$5:$L$265,"&gt;"&amp;L213)+COUNTIFS($A$5:$A$265,A213,$L$5:$L$265,L213,$D$5:$D$265,"&lt;"&amp;D213)</f>
        <v/>
      </c>
      <c r="N213" s="20">
        <f>IF(J213=0,0,F213-SUMIFS($K$5:$K$265,$A$5:$A$265,A213))</f>
        <v/>
      </c>
      <c r="O213" s="10">
        <f>INT(N213/'تنظیمات'!$B$7)</f>
        <v/>
      </c>
      <c r="P213" s="10">
        <f>N213-O213*'تنظیمات'!$B$7</f>
        <v/>
      </c>
      <c r="Q213" s="20">
        <f>IF(J213=0,0,K213+IF(M213&lt;=O213,'تنظیمات'!$B$7,0)+IF(M213=1,P213,0))</f>
        <v/>
      </c>
      <c r="R213" s="22">
        <f>'سطرهای تسهیم'!F28</f>
        <v/>
      </c>
      <c r="S213" s="22">
        <f>'سطرهای تسهیم'!G28</f>
        <v/>
      </c>
      <c r="T213" s="4">
        <f>IFERROR(INDEX('دسته‌ها'!$D$5:$D$25,MATCH(S213,'دسته‌ها'!$A$5:$A$25,0)),"خیر")</f>
        <v/>
      </c>
    </row>
    <row r="214">
      <c r="A214" s="22">
        <f>'سطرهای تسهیم'!A28</f>
        <v/>
      </c>
      <c r="B214" s="22">
        <f>'سطرهای تسهیم'!B28</f>
        <v/>
      </c>
      <c r="C214" s="22">
        <f>'واحدها'!A7</f>
        <v/>
      </c>
      <c r="D214" s="12">
        <f>'واحدها'!H7</f>
        <v/>
      </c>
      <c r="E214" s="22">
        <f>'سطرهای تسهیم'!D28</f>
        <v/>
      </c>
      <c r="F214" s="19">
        <f>'سطرهای تسهیم'!E28</f>
        <v/>
      </c>
      <c r="G214" s="12">
        <f>IF('واحدها'!F7="بله",'شمول'!D16,0)</f>
        <v/>
      </c>
      <c r="H214" s="10">
        <f>CHOOSE(MATCH(E214,'فهرست‌ها'!$A$4:$A$13,0),1,'واحدها'!E7,'واحدها'!D7*100,'واحدها'!J7,'واحدها'!J7,'وزن‌ها'!D16,'وزن‌ها'!D16,'واحدها'!K7,'واحدها'!L7,0)</f>
        <v/>
      </c>
      <c r="I214" s="10">
        <f>G214*H214</f>
        <v/>
      </c>
      <c r="J214" s="10">
        <f>SUMIFS($I$5:$I$265,$A$5:$A$265,A214)</f>
        <v/>
      </c>
      <c r="K214" s="20">
        <f>IF(J214=0,0,'تنظیمات'!$B$7*INT(F214*I214/(J214*'تنظیمات'!$B$7)))</f>
        <v/>
      </c>
      <c r="L214" s="10">
        <f>IF(J214=0,0,F214*I214-J214*'تنظیمات'!$B$7*INT(F214*I214/(J214*'تنظیمات'!$B$7)))</f>
        <v/>
      </c>
      <c r="M214" s="10">
        <f>1+COUNTIFS($A$5:$A$265,A214,$L$5:$L$265,"&gt;"&amp;L214)+COUNTIFS($A$5:$A$265,A214,$L$5:$L$265,L214,$D$5:$D$265,"&lt;"&amp;D214)</f>
        <v/>
      </c>
      <c r="N214" s="20">
        <f>IF(J214=0,0,F214-SUMIFS($K$5:$K$265,$A$5:$A$265,A214))</f>
        <v/>
      </c>
      <c r="O214" s="10">
        <f>INT(N214/'تنظیمات'!$B$7)</f>
        <v/>
      </c>
      <c r="P214" s="10">
        <f>N214-O214*'تنظیمات'!$B$7</f>
        <v/>
      </c>
      <c r="Q214" s="20">
        <f>IF(J214=0,0,K214+IF(M214&lt;=O214,'تنظیمات'!$B$7,0)+IF(M214=1,P214,0))</f>
        <v/>
      </c>
      <c r="R214" s="22">
        <f>'سطرهای تسهیم'!F28</f>
        <v/>
      </c>
      <c r="S214" s="22">
        <f>'سطرهای تسهیم'!G28</f>
        <v/>
      </c>
      <c r="T214" s="4">
        <f>IFERROR(INDEX('دسته‌ها'!$D$5:$D$25,MATCH(S214,'دسته‌ها'!$A$5:$A$25,0)),"خیر")</f>
        <v/>
      </c>
    </row>
    <row r="215">
      <c r="A215" s="22">
        <f>'سطرهای تسهیم'!A28</f>
        <v/>
      </c>
      <c r="B215" s="22">
        <f>'سطرهای تسهیم'!B28</f>
        <v/>
      </c>
      <c r="C215" s="22">
        <f>'واحدها'!A8</f>
        <v/>
      </c>
      <c r="D215" s="12">
        <f>'واحدها'!H8</f>
        <v/>
      </c>
      <c r="E215" s="22">
        <f>'سطرهای تسهیم'!D28</f>
        <v/>
      </c>
      <c r="F215" s="19">
        <f>'سطرهای تسهیم'!E28</f>
        <v/>
      </c>
      <c r="G215" s="12">
        <f>IF('واحدها'!F8="بله",'شمول'!E16,0)</f>
        <v/>
      </c>
      <c r="H215" s="10">
        <f>CHOOSE(MATCH(E215,'فهرست‌ها'!$A$4:$A$13,0),1,'واحدها'!E8,'واحدها'!D8*100,'واحدها'!J8,'واحدها'!J8,'وزن‌ها'!E16,'وزن‌ها'!E16,'واحدها'!K8,'واحدها'!L8,0)</f>
        <v/>
      </c>
      <c r="I215" s="10">
        <f>G215*H215</f>
        <v/>
      </c>
      <c r="J215" s="10">
        <f>SUMIFS($I$5:$I$265,$A$5:$A$265,A215)</f>
        <v/>
      </c>
      <c r="K215" s="20">
        <f>IF(J215=0,0,'تنظیمات'!$B$7*INT(F215*I215/(J215*'تنظیمات'!$B$7)))</f>
        <v/>
      </c>
      <c r="L215" s="10">
        <f>IF(J215=0,0,F215*I215-J215*'تنظیمات'!$B$7*INT(F215*I215/(J215*'تنظیمات'!$B$7)))</f>
        <v/>
      </c>
      <c r="M215" s="10">
        <f>1+COUNTIFS($A$5:$A$265,A215,$L$5:$L$265,"&gt;"&amp;L215)+COUNTIFS($A$5:$A$265,A215,$L$5:$L$265,L215,$D$5:$D$265,"&lt;"&amp;D215)</f>
        <v/>
      </c>
      <c r="N215" s="20">
        <f>IF(J215=0,0,F215-SUMIFS($K$5:$K$265,$A$5:$A$265,A215))</f>
        <v/>
      </c>
      <c r="O215" s="10">
        <f>INT(N215/'تنظیمات'!$B$7)</f>
        <v/>
      </c>
      <c r="P215" s="10">
        <f>N215-O215*'تنظیمات'!$B$7</f>
        <v/>
      </c>
      <c r="Q215" s="20">
        <f>IF(J215=0,0,K215+IF(M215&lt;=O215,'تنظیمات'!$B$7,0)+IF(M215=1,P215,0))</f>
        <v/>
      </c>
      <c r="R215" s="22">
        <f>'سطرهای تسهیم'!F28</f>
        <v/>
      </c>
      <c r="S215" s="22">
        <f>'سطرهای تسهیم'!G28</f>
        <v/>
      </c>
      <c r="T215" s="4">
        <f>IFERROR(INDEX('دسته‌ها'!$D$5:$D$25,MATCH(S215,'دسته‌ها'!$A$5:$A$25,0)),"خیر")</f>
        <v/>
      </c>
    </row>
    <row r="216">
      <c r="A216" s="22">
        <f>'سطرهای تسهیم'!A28</f>
        <v/>
      </c>
      <c r="B216" s="22">
        <f>'سطرهای تسهیم'!B28</f>
        <v/>
      </c>
      <c r="C216" s="22">
        <f>'واحدها'!A9</f>
        <v/>
      </c>
      <c r="D216" s="12">
        <f>'واحدها'!H9</f>
        <v/>
      </c>
      <c r="E216" s="22">
        <f>'سطرهای تسهیم'!D28</f>
        <v/>
      </c>
      <c r="F216" s="19">
        <f>'سطرهای تسهیم'!E28</f>
        <v/>
      </c>
      <c r="G216" s="12">
        <f>IF('واحدها'!F9="بله",'شمول'!F16,0)</f>
        <v/>
      </c>
      <c r="H216" s="10">
        <f>CHOOSE(MATCH(E216,'فهرست‌ها'!$A$4:$A$13,0),1,'واحدها'!E9,'واحدها'!D9*100,'واحدها'!J9,'واحدها'!J9,'وزن‌ها'!F16,'وزن‌ها'!F16,'واحدها'!K9,'واحدها'!L9,0)</f>
        <v/>
      </c>
      <c r="I216" s="10">
        <f>G216*H216</f>
        <v/>
      </c>
      <c r="J216" s="10">
        <f>SUMIFS($I$5:$I$265,$A$5:$A$265,A216)</f>
        <v/>
      </c>
      <c r="K216" s="20">
        <f>IF(J216=0,0,'تنظیمات'!$B$7*INT(F216*I216/(J216*'تنظیمات'!$B$7)))</f>
        <v/>
      </c>
      <c r="L216" s="10">
        <f>IF(J216=0,0,F216*I216-J216*'تنظیمات'!$B$7*INT(F216*I216/(J216*'تنظیمات'!$B$7)))</f>
        <v/>
      </c>
      <c r="M216" s="10">
        <f>1+COUNTIFS($A$5:$A$265,A216,$L$5:$L$265,"&gt;"&amp;L216)+COUNTIFS($A$5:$A$265,A216,$L$5:$L$265,L216,$D$5:$D$265,"&lt;"&amp;D216)</f>
        <v/>
      </c>
      <c r="N216" s="20">
        <f>IF(J216=0,0,F216-SUMIFS($K$5:$K$265,$A$5:$A$265,A216))</f>
        <v/>
      </c>
      <c r="O216" s="10">
        <f>INT(N216/'تنظیمات'!$B$7)</f>
        <v/>
      </c>
      <c r="P216" s="10">
        <f>N216-O216*'تنظیمات'!$B$7</f>
        <v/>
      </c>
      <c r="Q216" s="20">
        <f>IF(J216=0,0,K216+IF(M216&lt;=O216,'تنظیمات'!$B$7,0)+IF(M216=1,P216,0))</f>
        <v/>
      </c>
      <c r="R216" s="22">
        <f>'سطرهای تسهیم'!F28</f>
        <v/>
      </c>
      <c r="S216" s="22">
        <f>'سطرهای تسهیم'!G28</f>
        <v/>
      </c>
      <c r="T216" s="4">
        <f>IFERROR(INDEX('دسته‌ها'!$D$5:$D$25,MATCH(S216,'دسته‌ها'!$A$5:$A$25,0)),"خیر")</f>
        <v/>
      </c>
    </row>
    <row r="217">
      <c r="A217" s="22">
        <f>'سطرهای تسهیم'!A28</f>
        <v/>
      </c>
      <c r="B217" s="22">
        <f>'سطرهای تسهیم'!B28</f>
        <v/>
      </c>
      <c r="C217" s="22">
        <f>'واحدها'!A10</f>
        <v/>
      </c>
      <c r="D217" s="12">
        <f>'واحدها'!H10</f>
        <v/>
      </c>
      <c r="E217" s="22">
        <f>'سطرهای تسهیم'!D28</f>
        <v/>
      </c>
      <c r="F217" s="19">
        <f>'سطرهای تسهیم'!E28</f>
        <v/>
      </c>
      <c r="G217" s="12">
        <f>IF('واحدها'!F10="بله",'شمول'!G16,0)</f>
        <v/>
      </c>
      <c r="H217" s="10">
        <f>CHOOSE(MATCH(E217,'فهرست‌ها'!$A$4:$A$13,0),1,'واحدها'!E10,'واحدها'!D10*100,'واحدها'!J10,'واحدها'!J10,'وزن‌ها'!G16,'وزن‌ها'!G16,'واحدها'!K10,'واحدها'!L10,0)</f>
        <v/>
      </c>
      <c r="I217" s="10">
        <f>G217*H217</f>
        <v/>
      </c>
      <c r="J217" s="10">
        <f>SUMIFS($I$5:$I$265,$A$5:$A$265,A217)</f>
        <v/>
      </c>
      <c r="K217" s="20">
        <f>IF(J217=0,0,'تنظیمات'!$B$7*INT(F217*I217/(J217*'تنظیمات'!$B$7)))</f>
        <v/>
      </c>
      <c r="L217" s="10">
        <f>IF(J217=0,0,F217*I217-J217*'تنظیمات'!$B$7*INT(F217*I217/(J217*'تنظیمات'!$B$7)))</f>
        <v/>
      </c>
      <c r="M217" s="10">
        <f>1+COUNTIFS($A$5:$A$265,A217,$L$5:$L$265,"&gt;"&amp;L217)+COUNTIFS($A$5:$A$265,A217,$L$5:$L$265,L217,$D$5:$D$265,"&lt;"&amp;D217)</f>
        <v/>
      </c>
      <c r="N217" s="20">
        <f>IF(J217=0,0,F217-SUMIFS($K$5:$K$265,$A$5:$A$265,A217))</f>
        <v/>
      </c>
      <c r="O217" s="10">
        <f>INT(N217/'تنظیمات'!$B$7)</f>
        <v/>
      </c>
      <c r="P217" s="10">
        <f>N217-O217*'تنظیمات'!$B$7</f>
        <v/>
      </c>
      <c r="Q217" s="20">
        <f>IF(J217=0,0,K217+IF(M217&lt;=O217,'تنظیمات'!$B$7,0)+IF(M217=1,P217,0))</f>
        <v/>
      </c>
      <c r="R217" s="22">
        <f>'سطرهای تسهیم'!F28</f>
        <v/>
      </c>
      <c r="S217" s="22">
        <f>'سطرهای تسهیم'!G28</f>
        <v/>
      </c>
      <c r="T217" s="4">
        <f>IFERROR(INDEX('دسته‌ها'!$D$5:$D$25,MATCH(S217,'دسته‌ها'!$A$5:$A$25,0)),"خیر")</f>
        <v/>
      </c>
    </row>
    <row r="218">
      <c r="A218" s="22">
        <f>'سطرهای تسهیم'!A28</f>
        <v/>
      </c>
      <c r="B218" s="22">
        <f>'سطرهای تسهیم'!B28</f>
        <v/>
      </c>
      <c r="C218" s="22">
        <f>'واحدها'!A11</f>
        <v/>
      </c>
      <c r="D218" s="12">
        <f>'واحدها'!H11</f>
        <v/>
      </c>
      <c r="E218" s="22">
        <f>'سطرهای تسهیم'!D28</f>
        <v/>
      </c>
      <c r="F218" s="19">
        <f>'سطرهای تسهیم'!E28</f>
        <v/>
      </c>
      <c r="G218" s="12">
        <f>IF('واحدها'!F11="بله",'شمول'!H16,0)</f>
        <v/>
      </c>
      <c r="H218" s="10">
        <f>CHOOSE(MATCH(E218,'فهرست‌ها'!$A$4:$A$13,0),1,'واحدها'!E11,'واحدها'!D11*100,'واحدها'!J11,'واحدها'!J11,'وزن‌ها'!H16,'وزن‌ها'!H16,'واحدها'!K11,'واحدها'!L11,0)</f>
        <v/>
      </c>
      <c r="I218" s="10">
        <f>G218*H218</f>
        <v/>
      </c>
      <c r="J218" s="10">
        <f>SUMIFS($I$5:$I$265,$A$5:$A$265,A218)</f>
        <v/>
      </c>
      <c r="K218" s="20">
        <f>IF(J218=0,0,'تنظیمات'!$B$7*INT(F218*I218/(J218*'تنظیمات'!$B$7)))</f>
        <v/>
      </c>
      <c r="L218" s="10">
        <f>IF(J218=0,0,F218*I218-J218*'تنظیمات'!$B$7*INT(F218*I218/(J218*'تنظیمات'!$B$7)))</f>
        <v/>
      </c>
      <c r="M218" s="10">
        <f>1+COUNTIFS($A$5:$A$265,A218,$L$5:$L$265,"&gt;"&amp;L218)+COUNTIFS($A$5:$A$265,A218,$L$5:$L$265,L218,$D$5:$D$265,"&lt;"&amp;D218)</f>
        <v/>
      </c>
      <c r="N218" s="20">
        <f>IF(J218=0,0,F218-SUMIFS($K$5:$K$265,$A$5:$A$265,A218))</f>
        <v/>
      </c>
      <c r="O218" s="10">
        <f>INT(N218/'تنظیمات'!$B$7)</f>
        <v/>
      </c>
      <c r="P218" s="10">
        <f>N218-O218*'تنظیمات'!$B$7</f>
        <v/>
      </c>
      <c r="Q218" s="20">
        <f>IF(J218=0,0,K218+IF(M218&lt;=O218,'تنظیمات'!$B$7,0)+IF(M218=1,P218,0))</f>
        <v/>
      </c>
      <c r="R218" s="22">
        <f>'سطرهای تسهیم'!F28</f>
        <v/>
      </c>
      <c r="S218" s="22">
        <f>'سطرهای تسهیم'!G28</f>
        <v/>
      </c>
      <c r="T218" s="4">
        <f>IFERROR(INDEX('دسته‌ها'!$D$5:$D$25,MATCH(S218,'دسته‌ها'!$A$5:$A$25,0)),"خیر")</f>
        <v/>
      </c>
    </row>
    <row r="219">
      <c r="A219" s="22">
        <f>'سطرهای تسهیم'!A28</f>
        <v/>
      </c>
      <c r="B219" s="22">
        <f>'سطرهای تسهیم'!B28</f>
        <v/>
      </c>
      <c r="C219" s="22">
        <f>'واحدها'!A12</f>
        <v/>
      </c>
      <c r="D219" s="12">
        <f>'واحدها'!H12</f>
        <v/>
      </c>
      <c r="E219" s="22">
        <f>'سطرهای تسهیم'!D28</f>
        <v/>
      </c>
      <c r="F219" s="19">
        <f>'سطرهای تسهیم'!E28</f>
        <v/>
      </c>
      <c r="G219" s="12">
        <f>IF('واحدها'!F12="بله",'شمول'!I16,0)</f>
        <v/>
      </c>
      <c r="H219" s="10">
        <f>CHOOSE(MATCH(E219,'فهرست‌ها'!$A$4:$A$13,0),1,'واحدها'!E12,'واحدها'!D12*100,'واحدها'!J12,'واحدها'!J12,'وزن‌ها'!I16,'وزن‌ها'!I16,'واحدها'!K12,'واحدها'!L12,0)</f>
        <v/>
      </c>
      <c r="I219" s="10">
        <f>G219*H219</f>
        <v/>
      </c>
      <c r="J219" s="10">
        <f>SUMIFS($I$5:$I$265,$A$5:$A$265,A219)</f>
        <v/>
      </c>
      <c r="K219" s="20">
        <f>IF(J219=0,0,'تنظیمات'!$B$7*INT(F219*I219/(J219*'تنظیمات'!$B$7)))</f>
        <v/>
      </c>
      <c r="L219" s="10">
        <f>IF(J219=0,0,F219*I219-J219*'تنظیمات'!$B$7*INT(F219*I219/(J219*'تنظیمات'!$B$7)))</f>
        <v/>
      </c>
      <c r="M219" s="10">
        <f>1+COUNTIFS($A$5:$A$265,A219,$L$5:$L$265,"&gt;"&amp;L219)+COUNTIFS($A$5:$A$265,A219,$L$5:$L$265,L219,$D$5:$D$265,"&lt;"&amp;D219)</f>
        <v/>
      </c>
      <c r="N219" s="20">
        <f>IF(J219=0,0,F219-SUMIFS($K$5:$K$265,$A$5:$A$265,A219))</f>
        <v/>
      </c>
      <c r="O219" s="10">
        <f>INT(N219/'تنظیمات'!$B$7)</f>
        <v/>
      </c>
      <c r="P219" s="10">
        <f>N219-O219*'تنظیمات'!$B$7</f>
        <v/>
      </c>
      <c r="Q219" s="20">
        <f>IF(J219=0,0,K219+IF(M219&lt;=O219,'تنظیمات'!$B$7,0)+IF(M219=1,P219,0))</f>
        <v/>
      </c>
      <c r="R219" s="22">
        <f>'سطرهای تسهیم'!F28</f>
        <v/>
      </c>
      <c r="S219" s="22">
        <f>'سطرهای تسهیم'!G28</f>
        <v/>
      </c>
      <c r="T219" s="4">
        <f>IFERROR(INDEX('دسته‌ها'!$D$5:$D$25,MATCH(S219,'دسته‌ها'!$A$5:$A$25,0)),"خیر")</f>
        <v/>
      </c>
    </row>
    <row r="220">
      <c r="A220" s="22">
        <f>'سطرهای تسهیم'!A28</f>
        <v/>
      </c>
      <c r="B220" s="22">
        <f>'سطرهای تسهیم'!B28</f>
        <v/>
      </c>
      <c r="C220" s="22">
        <f>'واحدها'!A13</f>
        <v/>
      </c>
      <c r="D220" s="12">
        <f>'واحدها'!H13</f>
        <v/>
      </c>
      <c r="E220" s="22">
        <f>'سطرهای تسهیم'!D28</f>
        <v/>
      </c>
      <c r="F220" s="19">
        <f>'سطرهای تسهیم'!E28</f>
        <v/>
      </c>
      <c r="G220" s="12">
        <f>IF('واحدها'!F13="بله",'شمول'!J16,0)</f>
        <v/>
      </c>
      <c r="H220" s="10">
        <f>CHOOSE(MATCH(E220,'فهرست‌ها'!$A$4:$A$13,0),1,'واحدها'!E13,'واحدها'!D13*100,'واحدها'!J13,'واحدها'!J13,'وزن‌ها'!J16,'وزن‌ها'!J16,'واحدها'!K13,'واحدها'!L13,0)</f>
        <v/>
      </c>
      <c r="I220" s="10">
        <f>G220*H220</f>
        <v/>
      </c>
      <c r="J220" s="10">
        <f>SUMIFS($I$5:$I$265,$A$5:$A$265,A220)</f>
        <v/>
      </c>
      <c r="K220" s="20">
        <f>IF(J220=0,0,'تنظیمات'!$B$7*INT(F220*I220/(J220*'تنظیمات'!$B$7)))</f>
        <v/>
      </c>
      <c r="L220" s="10">
        <f>IF(J220=0,0,F220*I220-J220*'تنظیمات'!$B$7*INT(F220*I220/(J220*'تنظیمات'!$B$7)))</f>
        <v/>
      </c>
      <c r="M220" s="10">
        <f>1+COUNTIFS($A$5:$A$265,A220,$L$5:$L$265,"&gt;"&amp;L220)+COUNTIFS($A$5:$A$265,A220,$L$5:$L$265,L220,$D$5:$D$265,"&lt;"&amp;D220)</f>
        <v/>
      </c>
      <c r="N220" s="20">
        <f>IF(J220=0,0,F220-SUMIFS($K$5:$K$265,$A$5:$A$265,A220))</f>
        <v/>
      </c>
      <c r="O220" s="10">
        <f>INT(N220/'تنظیمات'!$B$7)</f>
        <v/>
      </c>
      <c r="P220" s="10">
        <f>N220-O220*'تنظیمات'!$B$7</f>
        <v/>
      </c>
      <c r="Q220" s="20">
        <f>IF(J220=0,0,K220+IF(M220&lt;=O220,'تنظیمات'!$B$7,0)+IF(M220=1,P220,0))</f>
        <v/>
      </c>
      <c r="R220" s="22">
        <f>'سطرهای تسهیم'!F28</f>
        <v/>
      </c>
      <c r="S220" s="22">
        <f>'سطرهای تسهیم'!G28</f>
        <v/>
      </c>
      <c r="T220" s="4">
        <f>IFERROR(INDEX('دسته‌ها'!$D$5:$D$25,MATCH(S220,'دسته‌ها'!$A$5:$A$25,0)),"خیر")</f>
        <v/>
      </c>
    </row>
    <row r="221">
      <c r="A221" s="22">
        <f>'سطرهای تسهیم'!A29</f>
        <v/>
      </c>
      <c r="B221" s="22">
        <f>'سطرهای تسهیم'!B29</f>
        <v/>
      </c>
      <c r="C221" s="22">
        <f>'واحدها'!A5</f>
        <v/>
      </c>
      <c r="D221" s="12">
        <f>'واحدها'!H5</f>
        <v/>
      </c>
      <c r="E221" s="22">
        <f>'سطرهای تسهیم'!D29</f>
        <v/>
      </c>
      <c r="F221" s="19">
        <f>'سطرهای تسهیم'!E29</f>
        <v/>
      </c>
      <c r="G221" s="12">
        <f>IF('واحدها'!F5="بله",'شمول'!B17,0)</f>
        <v/>
      </c>
      <c r="H221" s="10">
        <f>CHOOSE(MATCH(E221,'فهرست‌ها'!$A$4:$A$13,0),1,'واحدها'!E5,'واحدها'!D5*100,'واحدها'!J5,'واحدها'!J5,'وزن‌ها'!B17,'وزن‌ها'!B17,'واحدها'!K5,'واحدها'!L5,0)</f>
        <v/>
      </c>
      <c r="I221" s="10">
        <f>G221*H221</f>
        <v/>
      </c>
      <c r="J221" s="10">
        <f>SUMIFS($I$5:$I$265,$A$5:$A$265,A221)</f>
        <v/>
      </c>
      <c r="K221" s="20">
        <f>IF(J221=0,0,'تنظیمات'!$B$7*INT(F221*I221/(J221*'تنظیمات'!$B$7)))</f>
        <v/>
      </c>
      <c r="L221" s="10">
        <f>IF(J221=0,0,F221*I221-J221*'تنظیمات'!$B$7*INT(F221*I221/(J221*'تنظیمات'!$B$7)))</f>
        <v/>
      </c>
      <c r="M221" s="10">
        <f>1+COUNTIFS($A$5:$A$265,A221,$L$5:$L$265,"&gt;"&amp;L221)+COUNTIFS($A$5:$A$265,A221,$L$5:$L$265,L221,$D$5:$D$265,"&lt;"&amp;D221)</f>
        <v/>
      </c>
      <c r="N221" s="20">
        <f>IF(J221=0,0,F221-SUMIFS($K$5:$K$265,$A$5:$A$265,A221))</f>
        <v/>
      </c>
      <c r="O221" s="10">
        <f>INT(N221/'تنظیمات'!$B$7)</f>
        <v/>
      </c>
      <c r="P221" s="10">
        <f>N221-O221*'تنظیمات'!$B$7</f>
        <v/>
      </c>
      <c r="Q221" s="20">
        <f>IF(J221=0,0,K221+IF(M221&lt;=O221,'تنظیمات'!$B$7,0)+IF(M221=1,P221,0))</f>
        <v/>
      </c>
      <c r="R221" s="22">
        <f>'سطرهای تسهیم'!F29</f>
        <v/>
      </c>
      <c r="S221" s="22">
        <f>'سطرهای تسهیم'!G29</f>
        <v/>
      </c>
      <c r="T221" s="4">
        <f>IFERROR(INDEX('دسته‌ها'!$D$5:$D$25,MATCH(S221,'دسته‌ها'!$A$5:$A$25,0)),"خیر")</f>
        <v/>
      </c>
    </row>
    <row r="222">
      <c r="A222" s="22">
        <f>'سطرهای تسهیم'!A29</f>
        <v/>
      </c>
      <c r="B222" s="22">
        <f>'سطرهای تسهیم'!B29</f>
        <v/>
      </c>
      <c r="C222" s="22">
        <f>'واحدها'!A6</f>
        <v/>
      </c>
      <c r="D222" s="12">
        <f>'واحدها'!H6</f>
        <v/>
      </c>
      <c r="E222" s="22">
        <f>'سطرهای تسهیم'!D29</f>
        <v/>
      </c>
      <c r="F222" s="19">
        <f>'سطرهای تسهیم'!E29</f>
        <v/>
      </c>
      <c r="G222" s="12">
        <f>IF('واحدها'!F6="بله",'شمول'!C17,0)</f>
        <v/>
      </c>
      <c r="H222" s="10">
        <f>CHOOSE(MATCH(E222,'فهرست‌ها'!$A$4:$A$13,0),1,'واحدها'!E6,'واحدها'!D6*100,'واحدها'!J6,'واحدها'!J6,'وزن‌ها'!C17,'وزن‌ها'!C17,'واحدها'!K6,'واحدها'!L6,0)</f>
        <v/>
      </c>
      <c r="I222" s="10">
        <f>G222*H222</f>
        <v/>
      </c>
      <c r="J222" s="10">
        <f>SUMIFS($I$5:$I$265,$A$5:$A$265,A222)</f>
        <v/>
      </c>
      <c r="K222" s="20">
        <f>IF(J222=0,0,'تنظیمات'!$B$7*INT(F222*I222/(J222*'تنظیمات'!$B$7)))</f>
        <v/>
      </c>
      <c r="L222" s="10">
        <f>IF(J222=0,0,F222*I222-J222*'تنظیمات'!$B$7*INT(F222*I222/(J222*'تنظیمات'!$B$7)))</f>
        <v/>
      </c>
      <c r="M222" s="10">
        <f>1+COUNTIFS($A$5:$A$265,A222,$L$5:$L$265,"&gt;"&amp;L222)+COUNTIFS($A$5:$A$265,A222,$L$5:$L$265,L222,$D$5:$D$265,"&lt;"&amp;D222)</f>
        <v/>
      </c>
      <c r="N222" s="20">
        <f>IF(J222=0,0,F222-SUMIFS($K$5:$K$265,$A$5:$A$265,A222))</f>
        <v/>
      </c>
      <c r="O222" s="10">
        <f>INT(N222/'تنظیمات'!$B$7)</f>
        <v/>
      </c>
      <c r="P222" s="10">
        <f>N222-O222*'تنظیمات'!$B$7</f>
        <v/>
      </c>
      <c r="Q222" s="20">
        <f>IF(J222=0,0,K222+IF(M222&lt;=O222,'تنظیمات'!$B$7,0)+IF(M222=1,P222,0))</f>
        <v/>
      </c>
      <c r="R222" s="22">
        <f>'سطرهای تسهیم'!F29</f>
        <v/>
      </c>
      <c r="S222" s="22">
        <f>'سطرهای تسهیم'!G29</f>
        <v/>
      </c>
      <c r="T222" s="4">
        <f>IFERROR(INDEX('دسته‌ها'!$D$5:$D$25,MATCH(S222,'دسته‌ها'!$A$5:$A$25,0)),"خیر")</f>
        <v/>
      </c>
    </row>
    <row r="223">
      <c r="A223" s="22">
        <f>'سطرهای تسهیم'!A29</f>
        <v/>
      </c>
      <c r="B223" s="22">
        <f>'سطرهای تسهیم'!B29</f>
        <v/>
      </c>
      <c r="C223" s="22">
        <f>'واحدها'!A7</f>
        <v/>
      </c>
      <c r="D223" s="12">
        <f>'واحدها'!H7</f>
        <v/>
      </c>
      <c r="E223" s="22">
        <f>'سطرهای تسهیم'!D29</f>
        <v/>
      </c>
      <c r="F223" s="19">
        <f>'سطرهای تسهیم'!E29</f>
        <v/>
      </c>
      <c r="G223" s="12">
        <f>IF('واحدها'!F7="بله",'شمول'!D17,0)</f>
        <v/>
      </c>
      <c r="H223" s="10">
        <f>CHOOSE(MATCH(E223,'فهرست‌ها'!$A$4:$A$13,0),1,'واحدها'!E7,'واحدها'!D7*100,'واحدها'!J7,'واحدها'!J7,'وزن‌ها'!D17,'وزن‌ها'!D17,'واحدها'!K7,'واحدها'!L7,0)</f>
        <v/>
      </c>
      <c r="I223" s="10">
        <f>G223*H223</f>
        <v/>
      </c>
      <c r="J223" s="10">
        <f>SUMIFS($I$5:$I$265,$A$5:$A$265,A223)</f>
        <v/>
      </c>
      <c r="K223" s="20">
        <f>IF(J223=0,0,'تنظیمات'!$B$7*INT(F223*I223/(J223*'تنظیمات'!$B$7)))</f>
        <v/>
      </c>
      <c r="L223" s="10">
        <f>IF(J223=0,0,F223*I223-J223*'تنظیمات'!$B$7*INT(F223*I223/(J223*'تنظیمات'!$B$7)))</f>
        <v/>
      </c>
      <c r="M223" s="10">
        <f>1+COUNTIFS($A$5:$A$265,A223,$L$5:$L$265,"&gt;"&amp;L223)+COUNTIFS($A$5:$A$265,A223,$L$5:$L$265,L223,$D$5:$D$265,"&lt;"&amp;D223)</f>
        <v/>
      </c>
      <c r="N223" s="20">
        <f>IF(J223=0,0,F223-SUMIFS($K$5:$K$265,$A$5:$A$265,A223))</f>
        <v/>
      </c>
      <c r="O223" s="10">
        <f>INT(N223/'تنظیمات'!$B$7)</f>
        <v/>
      </c>
      <c r="P223" s="10">
        <f>N223-O223*'تنظیمات'!$B$7</f>
        <v/>
      </c>
      <c r="Q223" s="20">
        <f>IF(J223=0,0,K223+IF(M223&lt;=O223,'تنظیمات'!$B$7,0)+IF(M223=1,P223,0))</f>
        <v/>
      </c>
      <c r="R223" s="22">
        <f>'سطرهای تسهیم'!F29</f>
        <v/>
      </c>
      <c r="S223" s="22">
        <f>'سطرهای تسهیم'!G29</f>
        <v/>
      </c>
      <c r="T223" s="4">
        <f>IFERROR(INDEX('دسته‌ها'!$D$5:$D$25,MATCH(S223,'دسته‌ها'!$A$5:$A$25,0)),"خیر")</f>
        <v/>
      </c>
    </row>
    <row r="224">
      <c r="A224" s="22">
        <f>'سطرهای تسهیم'!A29</f>
        <v/>
      </c>
      <c r="B224" s="22">
        <f>'سطرهای تسهیم'!B29</f>
        <v/>
      </c>
      <c r="C224" s="22">
        <f>'واحدها'!A8</f>
        <v/>
      </c>
      <c r="D224" s="12">
        <f>'واحدها'!H8</f>
        <v/>
      </c>
      <c r="E224" s="22">
        <f>'سطرهای تسهیم'!D29</f>
        <v/>
      </c>
      <c r="F224" s="19">
        <f>'سطرهای تسهیم'!E29</f>
        <v/>
      </c>
      <c r="G224" s="12">
        <f>IF('واحدها'!F8="بله",'شمول'!E17,0)</f>
        <v/>
      </c>
      <c r="H224" s="10">
        <f>CHOOSE(MATCH(E224,'فهرست‌ها'!$A$4:$A$13,0),1,'واحدها'!E8,'واحدها'!D8*100,'واحدها'!J8,'واحدها'!J8,'وزن‌ها'!E17,'وزن‌ها'!E17,'واحدها'!K8,'واحدها'!L8,0)</f>
        <v/>
      </c>
      <c r="I224" s="10">
        <f>G224*H224</f>
        <v/>
      </c>
      <c r="J224" s="10">
        <f>SUMIFS($I$5:$I$265,$A$5:$A$265,A224)</f>
        <v/>
      </c>
      <c r="K224" s="20">
        <f>IF(J224=0,0,'تنظیمات'!$B$7*INT(F224*I224/(J224*'تنظیمات'!$B$7)))</f>
        <v/>
      </c>
      <c r="L224" s="10">
        <f>IF(J224=0,0,F224*I224-J224*'تنظیمات'!$B$7*INT(F224*I224/(J224*'تنظیمات'!$B$7)))</f>
        <v/>
      </c>
      <c r="M224" s="10">
        <f>1+COUNTIFS($A$5:$A$265,A224,$L$5:$L$265,"&gt;"&amp;L224)+COUNTIFS($A$5:$A$265,A224,$L$5:$L$265,L224,$D$5:$D$265,"&lt;"&amp;D224)</f>
        <v/>
      </c>
      <c r="N224" s="20">
        <f>IF(J224=0,0,F224-SUMIFS($K$5:$K$265,$A$5:$A$265,A224))</f>
        <v/>
      </c>
      <c r="O224" s="10">
        <f>INT(N224/'تنظیمات'!$B$7)</f>
        <v/>
      </c>
      <c r="P224" s="10">
        <f>N224-O224*'تنظیمات'!$B$7</f>
        <v/>
      </c>
      <c r="Q224" s="20">
        <f>IF(J224=0,0,K224+IF(M224&lt;=O224,'تنظیمات'!$B$7,0)+IF(M224=1,P224,0))</f>
        <v/>
      </c>
      <c r="R224" s="22">
        <f>'سطرهای تسهیم'!F29</f>
        <v/>
      </c>
      <c r="S224" s="22">
        <f>'سطرهای تسهیم'!G29</f>
        <v/>
      </c>
      <c r="T224" s="4">
        <f>IFERROR(INDEX('دسته‌ها'!$D$5:$D$25,MATCH(S224,'دسته‌ها'!$A$5:$A$25,0)),"خیر")</f>
        <v/>
      </c>
    </row>
    <row r="225">
      <c r="A225" s="22">
        <f>'سطرهای تسهیم'!A29</f>
        <v/>
      </c>
      <c r="B225" s="22">
        <f>'سطرهای تسهیم'!B29</f>
        <v/>
      </c>
      <c r="C225" s="22">
        <f>'واحدها'!A9</f>
        <v/>
      </c>
      <c r="D225" s="12">
        <f>'واحدها'!H9</f>
        <v/>
      </c>
      <c r="E225" s="22">
        <f>'سطرهای تسهیم'!D29</f>
        <v/>
      </c>
      <c r="F225" s="19">
        <f>'سطرهای تسهیم'!E29</f>
        <v/>
      </c>
      <c r="G225" s="12">
        <f>IF('واحدها'!F9="بله",'شمول'!F17,0)</f>
        <v/>
      </c>
      <c r="H225" s="10">
        <f>CHOOSE(MATCH(E225,'فهرست‌ها'!$A$4:$A$13,0),1,'واحدها'!E9,'واحدها'!D9*100,'واحدها'!J9,'واحدها'!J9,'وزن‌ها'!F17,'وزن‌ها'!F17,'واحدها'!K9,'واحدها'!L9,0)</f>
        <v/>
      </c>
      <c r="I225" s="10">
        <f>G225*H225</f>
        <v/>
      </c>
      <c r="J225" s="10">
        <f>SUMIFS($I$5:$I$265,$A$5:$A$265,A225)</f>
        <v/>
      </c>
      <c r="K225" s="20">
        <f>IF(J225=0,0,'تنظیمات'!$B$7*INT(F225*I225/(J225*'تنظیمات'!$B$7)))</f>
        <v/>
      </c>
      <c r="L225" s="10">
        <f>IF(J225=0,0,F225*I225-J225*'تنظیمات'!$B$7*INT(F225*I225/(J225*'تنظیمات'!$B$7)))</f>
        <v/>
      </c>
      <c r="M225" s="10">
        <f>1+COUNTIFS($A$5:$A$265,A225,$L$5:$L$265,"&gt;"&amp;L225)+COUNTIFS($A$5:$A$265,A225,$L$5:$L$265,L225,$D$5:$D$265,"&lt;"&amp;D225)</f>
        <v/>
      </c>
      <c r="N225" s="20">
        <f>IF(J225=0,0,F225-SUMIFS($K$5:$K$265,$A$5:$A$265,A225))</f>
        <v/>
      </c>
      <c r="O225" s="10">
        <f>INT(N225/'تنظیمات'!$B$7)</f>
        <v/>
      </c>
      <c r="P225" s="10">
        <f>N225-O225*'تنظیمات'!$B$7</f>
        <v/>
      </c>
      <c r="Q225" s="20">
        <f>IF(J225=0,0,K225+IF(M225&lt;=O225,'تنظیمات'!$B$7,0)+IF(M225=1,P225,0))</f>
        <v/>
      </c>
      <c r="R225" s="22">
        <f>'سطرهای تسهیم'!F29</f>
        <v/>
      </c>
      <c r="S225" s="22">
        <f>'سطرهای تسهیم'!G29</f>
        <v/>
      </c>
      <c r="T225" s="4">
        <f>IFERROR(INDEX('دسته‌ها'!$D$5:$D$25,MATCH(S225,'دسته‌ها'!$A$5:$A$25,0)),"خیر")</f>
        <v/>
      </c>
    </row>
    <row r="226">
      <c r="A226" s="22">
        <f>'سطرهای تسهیم'!A29</f>
        <v/>
      </c>
      <c r="B226" s="22">
        <f>'سطرهای تسهیم'!B29</f>
        <v/>
      </c>
      <c r="C226" s="22">
        <f>'واحدها'!A10</f>
        <v/>
      </c>
      <c r="D226" s="12">
        <f>'واحدها'!H10</f>
        <v/>
      </c>
      <c r="E226" s="22">
        <f>'سطرهای تسهیم'!D29</f>
        <v/>
      </c>
      <c r="F226" s="19">
        <f>'سطرهای تسهیم'!E29</f>
        <v/>
      </c>
      <c r="G226" s="12">
        <f>IF('واحدها'!F10="بله",'شمول'!G17,0)</f>
        <v/>
      </c>
      <c r="H226" s="10">
        <f>CHOOSE(MATCH(E226,'فهرست‌ها'!$A$4:$A$13,0),1,'واحدها'!E10,'واحدها'!D10*100,'واحدها'!J10,'واحدها'!J10,'وزن‌ها'!G17,'وزن‌ها'!G17,'واحدها'!K10,'واحدها'!L10,0)</f>
        <v/>
      </c>
      <c r="I226" s="10">
        <f>G226*H226</f>
        <v/>
      </c>
      <c r="J226" s="10">
        <f>SUMIFS($I$5:$I$265,$A$5:$A$265,A226)</f>
        <v/>
      </c>
      <c r="K226" s="20">
        <f>IF(J226=0,0,'تنظیمات'!$B$7*INT(F226*I226/(J226*'تنظیمات'!$B$7)))</f>
        <v/>
      </c>
      <c r="L226" s="10">
        <f>IF(J226=0,0,F226*I226-J226*'تنظیمات'!$B$7*INT(F226*I226/(J226*'تنظیمات'!$B$7)))</f>
        <v/>
      </c>
      <c r="M226" s="10">
        <f>1+COUNTIFS($A$5:$A$265,A226,$L$5:$L$265,"&gt;"&amp;L226)+COUNTIFS($A$5:$A$265,A226,$L$5:$L$265,L226,$D$5:$D$265,"&lt;"&amp;D226)</f>
        <v/>
      </c>
      <c r="N226" s="20">
        <f>IF(J226=0,0,F226-SUMIFS($K$5:$K$265,$A$5:$A$265,A226))</f>
        <v/>
      </c>
      <c r="O226" s="10">
        <f>INT(N226/'تنظیمات'!$B$7)</f>
        <v/>
      </c>
      <c r="P226" s="10">
        <f>N226-O226*'تنظیمات'!$B$7</f>
        <v/>
      </c>
      <c r="Q226" s="20">
        <f>IF(J226=0,0,K226+IF(M226&lt;=O226,'تنظیمات'!$B$7,0)+IF(M226=1,P226,0))</f>
        <v/>
      </c>
      <c r="R226" s="22">
        <f>'سطرهای تسهیم'!F29</f>
        <v/>
      </c>
      <c r="S226" s="22">
        <f>'سطرهای تسهیم'!G29</f>
        <v/>
      </c>
      <c r="T226" s="4">
        <f>IFERROR(INDEX('دسته‌ها'!$D$5:$D$25,MATCH(S226,'دسته‌ها'!$A$5:$A$25,0)),"خیر")</f>
        <v/>
      </c>
    </row>
    <row r="227">
      <c r="A227" s="22">
        <f>'سطرهای تسهیم'!A29</f>
        <v/>
      </c>
      <c r="B227" s="22">
        <f>'سطرهای تسهیم'!B29</f>
        <v/>
      </c>
      <c r="C227" s="22">
        <f>'واحدها'!A11</f>
        <v/>
      </c>
      <c r="D227" s="12">
        <f>'واحدها'!H11</f>
        <v/>
      </c>
      <c r="E227" s="22">
        <f>'سطرهای تسهیم'!D29</f>
        <v/>
      </c>
      <c r="F227" s="19">
        <f>'سطرهای تسهیم'!E29</f>
        <v/>
      </c>
      <c r="G227" s="12">
        <f>IF('واحدها'!F11="بله",'شمول'!H17,0)</f>
        <v/>
      </c>
      <c r="H227" s="10">
        <f>CHOOSE(MATCH(E227,'فهرست‌ها'!$A$4:$A$13,0),1,'واحدها'!E11,'واحدها'!D11*100,'واحدها'!J11,'واحدها'!J11,'وزن‌ها'!H17,'وزن‌ها'!H17,'واحدها'!K11,'واحدها'!L11,0)</f>
        <v/>
      </c>
      <c r="I227" s="10">
        <f>G227*H227</f>
        <v/>
      </c>
      <c r="J227" s="10">
        <f>SUMIFS($I$5:$I$265,$A$5:$A$265,A227)</f>
        <v/>
      </c>
      <c r="K227" s="20">
        <f>IF(J227=0,0,'تنظیمات'!$B$7*INT(F227*I227/(J227*'تنظیمات'!$B$7)))</f>
        <v/>
      </c>
      <c r="L227" s="10">
        <f>IF(J227=0,0,F227*I227-J227*'تنظیمات'!$B$7*INT(F227*I227/(J227*'تنظیمات'!$B$7)))</f>
        <v/>
      </c>
      <c r="M227" s="10">
        <f>1+COUNTIFS($A$5:$A$265,A227,$L$5:$L$265,"&gt;"&amp;L227)+COUNTIFS($A$5:$A$265,A227,$L$5:$L$265,L227,$D$5:$D$265,"&lt;"&amp;D227)</f>
        <v/>
      </c>
      <c r="N227" s="20">
        <f>IF(J227=0,0,F227-SUMIFS($K$5:$K$265,$A$5:$A$265,A227))</f>
        <v/>
      </c>
      <c r="O227" s="10">
        <f>INT(N227/'تنظیمات'!$B$7)</f>
        <v/>
      </c>
      <c r="P227" s="10">
        <f>N227-O227*'تنظیمات'!$B$7</f>
        <v/>
      </c>
      <c r="Q227" s="20">
        <f>IF(J227=0,0,K227+IF(M227&lt;=O227,'تنظیمات'!$B$7,0)+IF(M227=1,P227,0))</f>
        <v/>
      </c>
      <c r="R227" s="22">
        <f>'سطرهای تسهیم'!F29</f>
        <v/>
      </c>
      <c r="S227" s="22">
        <f>'سطرهای تسهیم'!G29</f>
        <v/>
      </c>
      <c r="T227" s="4">
        <f>IFERROR(INDEX('دسته‌ها'!$D$5:$D$25,MATCH(S227,'دسته‌ها'!$A$5:$A$25,0)),"خیر")</f>
        <v/>
      </c>
    </row>
    <row r="228">
      <c r="A228" s="22">
        <f>'سطرهای تسهیم'!A29</f>
        <v/>
      </c>
      <c r="B228" s="22">
        <f>'سطرهای تسهیم'!B29</f>
        <v/>
      </c>
      <c r="C228" s="22">
        <f>'واحدها'!A12</f>
        <v/>
      </c>
      <c r="D228" s="12">
        <f>'واحدها'!H12</f>
        <v/>
      </c>
      <c r="E228" s="22">
        <f>'سطرهای تسهیم'!D29</f>
        <v/>
      </c>
      <c r="F228" s="19">
        <f>'سطرهای تسهیم'!E29</f>
        <v/>
      </c>
      <c r="G228" s="12">
        <f>IF('واحدها'!F12="بله",'شمول'!I17,0)</f>
        <v/>
      </c>
      <c r="H228" s="10">
        <f>CHOOSE(MATCH(E228,'فهرست‌ها'!$A$4:$A$13,0),1,'واحدها'!E12,'واحدها'!D12*100,'واحدها'!J12,'واحدها'!J12,'وزن‌ها'!I17,'وزن‌ها'!I17,'واحدها'!K12,'واحدها'!L12,0)</f>
        <v/>
      </c>
      <c r="I228" s="10">
        <f>G228*H228</f>
        <v/>
      </c>
      <c r="J228" s="10">
        <f>SUMIFS($I$5:$I$265,$A$5:$A$265,A228)</f>
        <v/>
      </c>
      <c r="K228" s="20">
        <f>IF(J228=0,0,'تنظیمات'!$B$7*INT(F228*I228/(J228*'تنظیمات'!$B$7)))</f>
        <v/>
      </c>
      <c r="L228" s="10">
        <f>IF(J228=0,0,F228*I228-J228*'تنظیمات'!$B$7*INT(F228*I228/(J228*'تنظیمات'!$B$7)))</f>
        <v/>
      </c>
      <c r="M228" s="10">
        <f>1+COUNTIFS($A$5:$A$265,A228,$L$5:$L$265,"&gt;"&amp;L228)+COUNTIFS($A$5:$A$265,A228,$L$5:$L$265,L228,$D$5:$D$265,"&lt;"&amp;D228)</f>
        <v/>
      </c>
      <c r="N228" s="20">
        <f>IF(J228=0,0,F228-SUMIFS($K$5:$K$265,$A$5:$A$265,A228))</f>
        <v/>
      </c>
      <c r="O228" s="10">
        <f>INT(N228/'تنظیمات'!$B$7)</f>
        <v/>
      </c>
      <c r="P228" s="10">
        <f>N228-O228*'تنظیمات'!$B$7</f>
        <v/>
      </c>
      <c r="Q228" s="20">
        <f>IF(J228=0,0,K228+IF(M228&lt;=O228,'تنظیمات'!$B$7,0)+IF(M228=1,P228,0))</f>
        <v/>
      </c>
      <c r="R228" s="22">
        <f>'سطرهای تسهیم'!F29</f>
        <v/>
      </c>
      <c r="S228" s="22">
        <f>'سطرهای تسهیم'!G29</f>
        <v/>
      </c>
      <c r="T228" s="4">
        <f>IFERROR(INDEX('دسته‌ها'!$D$5:$D$25,MATCH(S228,'دسته‌ها'!$A$5:$A$25,0)),"خیر")</f>
        <v/>
      </c>
    </row>
    <row r="229">
      <c r="A229" s="22">
        <f>'سطرهای تسهیم'!A29</f>
        <v/>
      </c>
      <c r="B229" s="22">
        <f>'سطرهای تسهیم'!B29</f>
        <v/>
      </c>
      <c r="C229" s="22">
        <f>'واحدها'!A13</f>
        <v/>
      </c>
      <c r="D229" s="12">
        <f>'واحدها'!H13</f>
        <v/>
      </c>
      <c r="E229" s="22">
        <f>'سطرهای تسهیم'!D29</f>
        <v/>
      </c>
      <c r="F229" s="19">
        <f>'سطرهای تسهیم'!E29</f>
        <v/>
      </c>
      <c r="G229" s="12">
        <f>IF('واحدها'!F13="بله",'شمول'!J17,0)</f>
        <v/>
      </c>
      <c r="H229" s="10">
        <f>CHOOSE(MATCH(E229,'فهرست‌ها'!$A$4:$A$13,0),1,'واحدها'!E13,'واحدها'!D13*100,'واحدها'!J13,'واحدها'!J13,'وزن‌ها'!J17,'وزن‌ها'!J17,'واحدها'!K13,'واحدها'!L13,0)</f>
        <v/>
      </c>
      <c r="I229" s="10">
        <f>G229*H229</f>
        <v/>
      </c>
      <c r="J229" s="10">
        <f>SUMIFS($I$5:$I$265,$A$5:$A$265,A229)</f>
        <v/>
      </c>
      <c r="K229" s="20">
        <f>IF(J229=0,0,'تنظیمات'!$B$7*INT(F229*I229/(J229*'تنظیمات'!$B$7)))</f>
        <v/>
      </c>
      <c r="L229" s="10">
        <f>IF(J229=0,0,F229*I229-J229*'تنظیمات'!$B$7*INT(F229*I229/(J229*'تنظیمات'!$B$7)))</f>
        <v/>
      </c>
      <c r="M229" s="10">
        <f>1+COUNTIFS($A$5:$A$265,A229,$L$5:$L$265,"&gt;"&amp;L229)+COUNTIFS($A$5:$A$265,A229,$L$5:$L$265,L229,$D$5:$D$265,"&lt;"&amp;D229)</f>
        <v/>
      </c>
      <c r="N229" s="20">
        <f>IF(J229=0,0,F229-SUMIFS($K$5:$K$265,$A$5:$A$265,A229))</f>
        <v/>
      </c>
      <c r="O229" s="10">
        <f>INT(N229/'تنظیمات'!$B$7)</f>
        <v/>
      </c>
      <c r="P229" s="10">
        <f>N229-O229*'تنظیمات'!$B$7</f>
        <v/>
      </c>
      <c r="Q229" s="20">
        <f>IF(J229=0,0,K229+IF(M229&lt;=O229,'تنظیمات'!$B$7,0)+IF(M229=1,P229,0))</f>
        <v/>
      </c>
      <c r="R229" s="22">
        <f>'سطرهای تسهیم'!F29</f>
        <v/>
      </c>
      <c r="S229" s="22">
        <f>'سطرهای تسهیم'!G29</f>
        <v/>
      </c>
      <c r="T229" s="4">
        <f>IFERROR(INDEX('دسته‌ها'!$D$5:$D$25,MATCH(S229,'دسته‌ها'!$A$5:$A$25,0)),"خیر")</f>
        <v/>
      </c>
    </row>
    <row r="230">
      <c r="A230" s="22">
        <f>'سطرهای تسهیم'!A30</f>
        <v/>
      </c>
      <c r="B230" s="22">
        <f>'سطرهای تسهیم'!B30</f>
        <v/>
      </c>
      <c r="C230" s="22">
        <f>'واحدها'!A5</f>
        <v/>
      </c>
      <c r="D230" s="12">
        <f>'واحدها'!H5</f>
        <v/>
      </c>
      <c r="E230" s="22">
        <f>'سطرهای تسهیم'!D30</f>
        <v/>
      </c>
      <c r="F230" s="19">
        <f>'سطرهای تسهیم'!E30</f>
        <v/>
      </c>
      <c r="G230" s="12">
        <f>IF('واحدها'!F5="بله",'شمول'!B18,0)</f>
        <v/>
      </c>
      <c r="H230" s="10">
        <f>CHOOSE(MATCH(E230,'فهرست‌ها'!$A$4:$A$13,0),1,'واحدها'!E5,'واحدها'!D5*100,'واحدها'!J5,'واحدها'!J5,'وزن‌ها'!B18,'وزن‌ها'!B18,'واحدها'!K5,'واحدها'!L5,0)</f>
        <v/>
      </c>
      <c r="I230" s="10">
        <f>G230*H230</f>
        <v/>
      </c>
      <c r="J230" s="10">
        <f>SUMIFS($I$5:$I$265,$A$5:$A$265,A230)</f>
        <v/>
      </c>
      <c r="K230" s="20">
        <f>IF(J230=0,0,'تنظیمات'!$B$7*INT(F230*I230/(J230*'تنظیمات'!$B$7)))</f>
        <v/>
      </c>
      <c r="L230" s="10">
        <f>IF(J230=0,0,F230*I230-J230*'تنظیمات'!$B$7*INT(F230*I230/(J230*'تنظیمات'!$B$7)))</f>
        <v/>
      </c>
      <c r="M230" s="10">
        <f>1+COUNTIFS($A$5:$A$265,A230,$L$5:$L$265,"&gt;"&amp;L230)+COUNTIFS($A$5:$A$265,A230,$L$5:$L$265,L230,$D$5:$D$265,"&lt;"&amp;D230)</f>
        <v/>
      </c>
      <c r="N230" s="20">
        <f>IF(J230=0,0,F230-SUMIFS($K$5:$K$265,$A$5:$A$265,A230))</f>
        <v/>
      </c>
      <c r="O230" s="10">
        <f>INT(N230/'تنظیمات'!$B$7)</f>
        <v/>
      </c>
      <c r="P230" s="10">
        <f>N230-O230*'تنظیمات'!$B$7</f>
        <v/>
      </c>
      <c r="Q230" s="20">
        <f>IF(J230=0,0,K230+IF(M230&lt;=O230,'تنظیمات'!$B$7,0)+IF(M230=1,P230,0))</f>
        <v/>
      </c>
      <c r="R230" s="22">
        <f>'سطرهای تسهیم'!F30</f>
        <v/>
      </c>
      <c r="S230" s="22">
        <f>'سطرهای تسهیم'!G30</f>
        <v/>
      </c>
      <c r="T230" s="4">
        <f>IFERROR(INDEX('دسته‌ها'!$D$5:$D$25,MATCH(S230,'دسته‌ها'!$A$5:$A$25,0)),"خیر")</f>
        <v/>
      </c>
    </row>
    <row r="231">
      <c r="A231" s="22">
        <f>'سطرهای تسهیم'!A30</f>
        <v/>
      </c>
      <c r="B231" s="22">
        <f>'سطرهای تسهیم'!B30</f>
        <v/>
      </c>
      <c r="C231" s="22">
        <f>'واحدها'!A6</f>
        <v/>
      </c>
      <c r="D231" s="12">
        <f>'واحدها'!H6</f>
        <v/>
      </c>
      <c r="E231" s="22">
        <f>'سطرهای تسهیم'!D30</f>
        <v/>
      </c>
      <c r="F231" s="19">
        <f>'سطرهای تسهیم'!E30</f>
        <v/>
      </c>
      <c r="G231" s="12">
        <f>IF('واحدها'!F6="بله",'شمول'!C18,0)</f>
        <v/>
      </c>
      <c r="H231" s="10">
        <f>CHOOSE(MATCH(E231,'فهرست‌ها'!$A$4:$A$13,0),1,'واحدها'!E6,'واحدها'!D6*100,'واحدها'!J6,'واحدها'!J6,'وزن‌ها'!C18,'وزن‌ها'!C18,'واحدها'!K6,'واحدها'!L6,0)</f>
        <v/>
      </c>
      <c r="I231" s="10">
        <f>G231*H231</f>
        <v/>
      </c>
      <c r="J231" s="10">
        <f>SUMIFS($I$5:$I$265,$A$5:$A$265,A231)</f>
        <v/>
      </c>
      <c r="K231" s="20">
        <f>IF(J231=0,0,'تنظیمات'!$B$7*INT(F231*I231/(J231*'تنظیمات'!$B$7)))</f>
        <v/>
      </c>
      <c r="L231" s="10">
        <f>IF(J231=0,0,F231*I231-J231*'تنظیمات'!$B$7*INT(F231*I231/(J231*'تنظیمات'!$B$7)))</f>
        <v/>
      </c>
      <c r="M231" s="10">
        <f>1+COUNTIFS($A$5:$A$265,A231,$L$5:$L$265,"&gt;"&amp;L231)+COUNTIFS($A$5:$A$265,A231,$L$5:$L$265,L231,$D$5:$D$265,"&lt;"&amp;D231)</f>
        <v/>
      </c>
      <c r="N231" s="20">
        <f>IF(J231=0,0,F231-SUMIFS($K$5:$K$265,$A$5:$A$265,A231))</f>
        <v/>
      </c>
      <c r="O231" s="10">
        <f>INT(N231/'تنظیمات'!$B$7)</f>
        <v/>
      </c>
      <c r="P231" s="10">
        <f>N231-O231*'تنظیمات'!$B$7</f>
        <v/>
      </c>
      <c r="Q231" s="20">
        <f>IF(J231=0,0,K231+IF(M231&lt;=O231,'تنظیمات'!$B$7,0)+IF(M231=1,P231,0))</f>
        <v/>
      </c>
      <c r="R231" s="22">
        <f>'سطرهای تسهیم'!F30</f>
        <v/>
      </c>
      <c r="S231" s="22">
        <f>'سطرهای تسهیم'!G30</f>
        <v/>
      </c>
      <c r="T231" s="4">
        <f>IFERROR(INDEX('دسته‌ها'!$D$5:$D$25,MATCH(S231,'دسته‌ها'!$A$5:$A$25,0)),"خیر")</f>
        <v/>
      </c>
    </row>
    <row r="232">
      <c r="A232" s="22">
        <f>'سطرهای تسهیم'!A30</f>
        <v/>
      </c>
      <c r="B232" s="22">
        <f>'سطرهای تسهیم'!B30</f>
        <v/>
      </c>
      <c r="C232" s="22">
        <f>'واحدها'!A7</f>
        <v/>
      </c>
      <c r="D232" s="12">
        <f>'واحدها'!H7</f>
        <v/>
      </c>
      <c r="E232" s="22">
        <f>'سطرهای تسهیم'!D30</f>
        <v/>
      </c>
      <c r="F232" s="19">
        <f>'سطرهای تسهیم'!E30</f>
        <v/>
      </c>
      <c r="G232" s="12">
        <f>IF('واحدها'!F7="بله",'شمول'!D18,0)</f>
        <v/>
      </c>
      <c r="H232" s="10">
        <f>CHOOSE(MATCH(E232,'فهرست‌ها'!$A$4:$A$13,0),1,'واحدها'!E7,'واحدها'!D7*100,'واحدها'!J7,'واحدها'!J7,'وزن‌ها'!D18,'وزن‌ها'!D18,'واحدها'!K7,'واحدها'!L7,0)</f>
        <v/>
      </c>
      <c r="I232" s="10">
        <f>G232*H232</f>
        <v/>
      </c>
      <c r="J232" s="10">
        <f>SUMIFS($I$5:$I$265,$A$5:$A$265,A232)</f>
        <v/>
      </c>
      <c r="K232" s="20">
        <f>IF(J232=0,0,'تنظیمات'!$B$7*INT(F232*I232/(J232*'تنظیمات'!$B$7)))</f>
        <v/>
      </c>
      <c r="L232" s="10">
        <f>IF(J232=0,0,F232*I232-J232*'تنظیمات'!$B$7*INT(F232*I232/(J232*'تنظیمات'!$B$7)))</f>
        <v/>
      </c>
      <c r="M232" s="10">
        <f>1+COUNTIFS($A$5:$A$265,A232,$L$5:$L$265,"&gt;"&amp;L232)+COUNTIFS($A$5:$A$265,A232,$L$5:$L$265,L232,$D$5:$D$265,"&lt;"&amp;D232)</f>
        <v/>
      </c>
      <c r="N232" s="20">
        <f>IF(J232=0,0,F232-SUMIFS($K$5:$K$265,$A$5:$A$265,A232))</f>
        <v/>
      </c>
      <c r="O232" s="10">
        <f>INT(N232/'تنظیمات'!$B$7)</f>
        <v/>
      </c>
      <c r="P232" s="10">
        <f>N232-O232*'تنظیمات'!$B$7</f>
        <v/>
      </c>
      <c r="Q232" s="20">
        <f>IF(J232=0,0,K232+IF(M232&lt;=O232,'تنظیمات'!$B$7,0)+IF(M232=1,P232,0))</f>
        <v/>
      </c>
      <c r="R232" s="22">
        <f>'سطرهای تسهیم'!F30</f>
        <v/>
      </c>
      <c r="S232" s="22">
        <f>'سطرهای تسهیم'!G30</f>
        <v/>
      </c>
      <c r="T232" s="4">
        <f>IFERROR(INDEX('دسته‌ها'!$D$5:$D$25,MATCH(S232,'دسته‌ها'!$A$5:$A$25,0)),"خیر")</f>
        <v/>
      </c>
    </row>
    <row r="233">
      <c r="A233" s="22">
        <f>'سطرهای تسهیم'!A30</f>
        <v/>
      </c>
      <c r="B233" s="22">
        <f>'سطرهای تسهیم'!B30</f>
        <v/>
      </c>
      <c r="C233" s="22">
        <f>'واحدها'!A8</f>
        <v/>
      </c>
      <c r="D233" s="12">
        <f>'واحدها'!H8</f>
        <v/>
      </c>
      <c r="E233" s="22">
        <f>'سطرهای تسهیم'!D30</f>
        <v/>
      </c>
      <c r="F233" s="19">
        <f>'سطرهای تسهیم'!E30</f>
        <v/>
      </c>
      <c r="G233" s="12">
        <f>IF('واحدها'!F8="بله",'شمول'!E18,0)</f>
        <v/>
      </c>
      <c r="H233" s="10">
        <f>CHOOSE(MATCH(E233,'فهرست‌ها'!$A$4:$A$13,0),1,'واحدها'!E8,'واحدها'!D8*100,'واحدها'!J8,'واحدها'!J8,'وزن‌ها'!E18,'وزن‌ها'!E18,'واحدها'!K8,'واحدها'!L8,0)</f>
        <v/>
      </c>
      <c r="I233" s="10">
        <f>G233*H233</f>
        <v/>
      </c>
      <c r="J233" s="10">
        <f>SUMIFS($I$5:$I$265,$A$5:$A$265,A233)</f>
        <v/>
      </c>
      <c r="K233" s="20">
        <f>IF(J233=0,0,'تنظیمات'!$B$7*INT(F233*I233/(J233*'تنظیمات'!$B$7)))</f>
        <v/>
      </c>
      <c r="L233" s="10">
        <f>IF(J233=0,0,F233*I233-J233*'تنظیمات'!$B$7*INT(F233*I233/(J233*'تنظیمات'!$B$7)))</f>
        <v/>
      </c>
      <c r="M233" s="10">
        <f>1+COUNTIFS($A$5:$A$265,A233,$L$5:$L$265,"&gt;"&amp;L233)+COUNTIFS($A$5:$A$265,A233,$L$5:$L$265,L233,$D$5:$D$265,"&lt;"&amp;D233)</f>
        <v/>
      </c>
      <c r="N233" s="20">
        <f>IF(J233=0,0,F233-SUMIFS($K$5:$K$265,$A$5:$A$265,A233))</f>
        <v/>
      </c>
      <c r="O233" s="10">
        <f>INT(N233/'تنظیمات'!$B$7)</f>
        <v/>
      </c>
      <c r="P233" s="10">
        <f>N233-O233*'تنظیمات'!$B$7</f>
        <v/>
      </c>
      <c r="Q233" s="20">
        <f>IF(J233=0,0,K233+IF(M233&lt;=O233,'تنظیمات'!$B$7,0)+IF(M233=1,P233,0))</f>
        <v/>
      </c>
      <c r="R233" s="22">
        <f>'سطرهای تسهیم'!F30</f>
        <v/>
      </c>
      <c r="S233" s="22">
        <f>'سطرهای تسهیم'!G30</f>
        <v/>
      </c>
      <c r="T233" s="4">
        <f>IFERROR(INDEX('دسته‌ها'!$D$5:$D$25,MATCH(S233,'دسته‌ها'!$A$5:$A$25,0)),"خیر")</f>
        <v/>
      </c>
    </row>
    <row r="234">
      <c r="A234" s="22">
        <f>'سطرهای تسهیم'!A30</f>
        <v/>
      </c>
      <c r="B234" s="22">
        <f>'سطرهای تسهیم'!B30</f>
        <v/>
      </c>
      <c r="C234" s="22">
        <f>'واحدها'!A9</f>
        <v/>
      </c>
      <c r="D234" s="12">
        <f>'واحدها'!H9</f>
        <v/>
      </c>
      <c r="E234" s="22">
        <f>'سطرهای تسهیم'!D30</f>
        <v/>
      </c>
      <c r="F234" s="19">
        <f>'سطرهای تسهیم'!E30</f>
        <v/>
      </c>
      <c r="G234" s="12">
        <f>IF('واحدها'!F9="بله",'شمول'!F18,0)</f>
        <v/>
      </c>
      <c r="H234" s="10">
        <f>CHOOSE(MATCH(E234,'فهرست‌ها'!$A$4:$A$13,0),1,'واحدها'!E9,'واحدها'!D9*100,'واحدها'!J9,'واحدها'!J9,'وزن‌ها'!F18,'وزن‌ها'!F18,'واحدها'!K9,'واحدها'!L9,0)</f>
        <v/>
      </c>
      <c r="I234" s="10">
        <f>G234*H234</f>
        <v/>
      </c>
      <c r="J234" s="10">
        <f>SUMIFS($I$5:$I$265,$A$5:$A$265,A234)</f>
        <v/>
      </c>
      <c r="K234" s="20">
        <f>IF(J234=0,0,'تنظیمات'!$B$7*INT(F234*I234/(J234*'تنظیمات'!$B$7)))</f>
        <v/>
      </c>
      <c r="L234" s="10">
        <f>IF(J234=0,0,F234*I234-J234*'تنظیمات'!$B$7*INT(F234*I234/(J234*'تنظیمات'!$B$7)))</f>
        <v/>
      </c>
      <c r="M234" s="10">
        <f>1+COUNTIFS($A$5:$A$265,A234,$L$5:$L$265,"&gt;"&amp;L234)+COUNTIFS($A$5:$A$265,A234,$L$5:$L$265,L234,$D$5:$D$265,"&lt;"&amp;D234)</f>
        <v/>
      </c>
      <c r="N234" s="20">
        <f>IF(J234=0,0,F234-SUMIFS($K$5:$K$265,$A$5:$A$265,A234))</f>
        <v/>
      </c>
      <c r="O234" s="10">
        <f>INT(N234/'تنظیمات'!$B$7)</f>
        <v/>
      </c>
      <c r="P234" s="10">
        <f>N234-O234*'تنظیمات'!$B$7</f>
        <v/>
      </c>
      <c r="Q234" s="20">
        <f>IF(J234=0,0,K234+IF(M234&lt;=O234,'تنظیمات'!$B$7,0)+IF(M234=1,P234,0))</f>
        <v/>
      </c>
      <c r="R234" s="22">
        <f>'سطرهای تسهیم'!F30</f>
        <v/>
      </c>
      <c r="S234" s="22">
        <f>'سطرهای تسهیم'!G30</f>
        <v/>
      </c>
      <c r="T234" s="4">
        <f>IFERROR(INDEX('دسته‌ها'!$D$5:$D$25,MATCH(S234,'دسته‌ها'!$A$5:$A$25,0)),"خیر")</f>
        <v/>
      </c>
    </row>
    <row r="235">
      <c r="A235" s="22">
        <f>'سطرهای تسهیم'!A30</f>
        <v/>
      </c>
      <c r="B235" s="22">
        <f>'سطرهای تسهیم'!B30</f>
        <v/>
      </c>
      <c r="C235" s="22">
        <f>'واحدها'!A10</f>
        <v/>
      </c>
      <c r="D235" s="12">
        <f>'واحدها'!H10</f>
        <v/>
      </c>
      <c r="E235" s="22">
        <f>'سطرهای تسهیم'!D30</f>
        <v/>
      </c>
      <c r="F235" s="19">
        <f>'سطرهای تسهیم'!E30</f>
        <v/>
      </c>
      <c r="G235" s="12">
        <f>IF('واحدها'!F10="بله",'شمول'!G18,0)</f>
        <v/>
      </c>
      <c r="H235" s="10">
        <f>CHOOSE(MATCH(E235,'فهرست‌ها'!$A$4:$A$13,0),1,'واحدها'!E10,'واحدها'!D10*100,'واحدها'!J10,'واحدها'!J10,'وزن‌ها'!G18,'وزن‌ها'!G18,'واحدها'!K10,'واحدها'!L10,0)</f>
        <v/>
      </c>
      <c r="I235" s="10">
        <f>G235*H235</f>
        <v/>
      </c>
      <c r="J235" s="10">
        <f>SUMIFS($I$5:$I$265,$A$5:$A$265,A235)</f>
        <v/>
      </c>
      <c r="K235" s="20">
        <f>IF(J235=0,0,'تنظیمات'!$B$7*INT(F235*I235/(J235*'تنظیمات'!$B$7)))</f>
        <v/>
      </c>
      <c r="L235" s="10">
        <f>IF(J235=0,0,F235*I235-J235*'تنظیمات'!$B$7*INT(F235*I235/(J235*'تنظیمات'!$B$7)))</f>
        <v/>
      </c>
      <c r="M235" s="10">
        <f>1+COUNTIFS($A$5:$A$265,A235,$L$5:$L$265,"&gt;"&amp;L235)+COUNTIFS($A$5:$A$265,A235,$L$5:$L$265,L235,$D$5:$D$265,"&lt;"&amp;D235)</f>
        <v/>
      </c>
      <c r="N235" s="20">
        <f>IF(J235=0,0,F235-SUMIFS($K$5:$K$265,$A$5:$A$265,A235))</f>
        <v/>
      </c>
      <c r="O235" s="10">
        <f>INT(N235/'تنظیمات'!$B$7)</f>
        <v/>
      </c>
      <c r="P235" s="10">
        <f>N235-O235*'تنظیمات'!$B$7</f>
        <v/>
      </c>
      <c r="Q235" s="20">
        <f>IF(J235=0,0,K235+IF(M235&lt;=O235,'تنظیمات'!$B$7,0)+IF(M235=1,P235,0))</f>
        <v/>
      </c>
      <c r="R235" s="22">
        <f>'سطرهای تسهیم'!F30</f>
        <v/>
      </c>
      <c r="S235" s="22">
        <f>'سطرهای تسهیم'!G30</f>
        <v/>
      </c>
      <c r="T235" s="4">
        <f>IFERROR(INDEX('دسته‌ها'!$D$5:$D$25,MATCH(S235,'دسته‌ها'!$A$5:$A$25,0)),"خیر")</f>
        <v/>
      </c>
    </row>
    <row r="236">
      <c r="A236" s="22">
        <f>'سطرهای تسهیم'!A30</f>
        <v/>
      </c>
      <c r="B236" s="22">
        <f>'سطرهای تسهیم'!B30</f>
        <v/>
      </c>
      <c r="C236" s="22">
        <f>'واحدها'!A11</f>
        <v/>
      </c>
      <c r="D236" s="12">
        <f>'واحدها'!H11</f>
        <v/>
      </c>
      <c r="E236" s="22">
        <f>'سطرهای تسهیم'!D30</f>
        <v/>
      </c>
      <c r="F236" s="19">
        <f>'سطرهای تسهیم'!E30</f>
        <v/>
      </c>
      <c r="G236" s="12">
        <f>IF('واحدها'!F11="بله",'شمول'!H18,0)</f>
        <v/>
      </c>
      <c r="H236" s="10">
        <f>CHOOSE(MATCH(E236,'فهرست‌ها'!$A$4:$A$13,0),1,'واحدها'!E11,'واحدها'!D11*100,'واحدها'!J11,'واحدها'!J11,'وزن‌ها'!H18,'وزن‌ها'!H18,'واحدها'!K11,'واحدها'!L11,0)</f>
        <v/>
      </c>
      <c r="I236" s="10">
        <f>G236*H236</f>
        <v/>
      </c>
      <c r="J236" s="10">
        <f>SUMIFS($I$5:$I$265,$A$5:$A$265,A236)</f>
        <v/>
      </c>
      <c r="K236" s="20">
        <f>IF(J236=0,0,'تنظیمات'!$B$7*INT(F236*I236/(J236*'تنظیمات'!$B$7)))</f>
        <v/>
      </c>
      <c r="L236" s="10">
        <f>IF(J236=0,0,F236*I236-J236*'تنظیمات'!$B$7*INT(F236*I236/(J236*'تنظیمات'!$B$7)))</f>
        <v/>
      </c>
      <c r="M236" s="10">
        <f>1+COUNTIFS($A$5:$A$265,A236,$L$5:$L$265,"&gt;"&amp;L236)+COUNTIFS($A$5:$A$265,A236,$L$5:$L$265,L236,$D$5:$D$265,"&lt;"&amp;D236)</f>
        <v/>
      </c>
      <c r="N236" s="20">
        <f>IF(J236=0,0,F236-SUMIFS($K$5:$K$265,$A$5:$A$265,A236))</f>
        <v/>
      </c>
      <c r="O236" s="10">
        <f>INT(N236/'تنظیمات'!$B$7)</f>
        <v/>
      </c>
      <c r="P236" s="10">
        <f>N236-O236*'تنظیمات'!$B$7</f>
        <v/>
      </c>
      <c r="Q236" s="20">
        <f>IF(J236=0,0,K236+IF(M236&lt;=O236,'تنظیمات'!$B$7,0)+IF(M236=1,P236,0))</f>
        <v/>
      </c>
      <c r="R236" s="22">
        <f>'سطرهای تسهیم'!F30</f>
        <v/>
      </c>
      <c r="S236" s="22">
        <f>'سطرهای تسهیم'!G30</f>
        <v/>
      </c>
      <c r="T236" s="4">
        <f>IFERROR(INDEX('دسته‌ها'!$D$5:$D$25,MATCH(S236,'دسته‌ها'!$A$5:$A$25,0)),"خیر")</f>
        <v/>
      </c>
    </row>
    <row r="237">
      <c r="A237" s="22">
        <f>'سطرهای تسهیم'!A30</f>
        <v/>
      </c>
      <c r="B237" s="22">
        <f>'سطرهای تسهیم'!B30</f>
        <v/>
      </c>
      <c r="C237" s="22">
        <f>'واحدها'!A12</f>
        <v/>
      </c>
      <c r="D237" s="12">
        <f>'واحدها'!H12</f>
        <v/>
      </c>
      <c r="E237" s="22">
        <f>'سطرهای تسهیم'!D30</f>
        <v/>
      </c>
      <c r="F237" s="19">
        <f>'سطرهای تسهیم'!E30</f>
        <v/>
      </c>
      <c r="G237" s="12">
        <f>IF('واحدها'!F12="بله",'شمول'!I18,0)</f>
        <v/>
      </c>
      <c r="H237" s="10">
        <f>CHOOSE(MATCH(E237,'فهرست‌ها'!$A$4:$A$13,0),1,'واحدها'!E12,'واحدها'!D12*100,'واحدها'!J12,'واحدها'!J12,'وزن‌ها'!I18,'وزن‌ها'!I18,'واحدها'!K12,'واحدها'!L12,0)</f>
        <v/>
      </c>
      <c r="I237" s="10">
        <f>G237*H237</f>
        <v/>
      </c>
      <c r="J237" s="10">
        <f>SUMIFS($I$5:$I$265,$A$5:$A$265,A237)</f>
        <v/>
      </c>
      <c r="K237" s="20">
        <f>IF(J237=0,0,'تنظیمات'!$B$7*INT(F237*I237/(J237*'تنظیمات'!$B$7)))</f>
        <v/>
      </c>
      <c r="L237" s="10">
        <f>IF(J237=0,0,F237*I237-J237*'تنظیمات'!$B$7*INT(F237*I237/(J237*'تنظیمات'!$B$7)))</f>
        <v/>
      </c>
      <c r="M237" s="10">
        <f>1+COUNTIFS($A$5:$A$265,A237,$L$5:$L$265,"&gt;"&amp;L237)+COUNTIFS($A$5:$A$265,A237,$L$5:$L$265,L237,$D$5:$D$265,"&lt;"&amp;D237)</f>
        <v/>
      </c>
      <c r="N237" s="20">
        <f>IF(J237=0,0,F237-SUMIFS($K$5:$K$265,$A$5:$A$265,A237))</f>
        <v/>
      </c>
      <c r="O237" s="10">
        <f>INT(N237/'تنظیمات'!$B$7)</f>
        <v/>
      </c>
      <c r="P237" s="10">
        <f>N237-O237*'تنظیمات'!$B$7</f>
        <v/>
      </c>
      <c r="Q237" s="20">
        <f>IF(J237=0,0,K237+IF(M237&lt;=O237,'تنظیمات'!$B$7,0)+IF(M237=1,P237,0))</f>
        <v/>
      </c>
      <c r="R237" s="22">
        <f>'سطرهای تسهیم'!F30</f>
        <v/>
      </c>
      <c r="S237" s="22">
        <f>'سطرهای تسهیم'!G30</f>
        <v/>
      </c>
      <c r="T237" s="4">
        <f>IFERROR(INDEX('دسته‌ها'!$D$5:$D$25,MATCH(S237,'دسته‌ها'!$A$5:$A$25,0)),"خیر")</f>
        <v/>
      </c>
    </row>
    <row r="238">
      <c r="A238" s="22">
        <f>'سطرهای تسهیم'!A30</f>
        <v/>
      </c>
      <c r="B238" s="22">
        <f>'سطرهای تسهیم'!B30</f>
        <v/>
      </c>
      <c r="C238" s="22">
        <f>'واحدها'!A13</f>
        <v/>
      </c>
      <c r="D238" s="12">
        <f>'واحدها'!H13</f>
        <v/>
      </c>
      <c r="E238" s="22">
        <f>'سطرهای تسهیم'!D30</f>
        <v/>
      </c>
      <c r="F238" s="19">
        <f>'سطرهای تسهیم'!E30</f>
        <v/>
      </c>
      <c r="G238" s="12">
        <f>IF('واحدها'!F13="بله",'شمول'!J18,0)</f>
        <v/>
      </c>
      <c r="H238" s="10">
        <f>CHOOSE(MATCH(E238,'فهرست‌ها'!$A$4:$A$13,0),1,'واحدها'!E13,'واحدها'!D13*100,'واحدها'!J13,'واحدها'!J13,'وزن‌ها'!J18,'وزن‌ها'!J18,'واحدها'!K13,'واحدها'!L13,0)</f>
        <v/>
      </c>
      <c r="I238" s="10">
        <f>G238*H238</f>
        <v/>
      </c>
      <c r="J238" s="10">
        <f>SUMIFS($I$5:$I$265,$A$5:$A$265,A238)</f>
        <v/>
      </c>
      <c r="K238" s="20">
        <f>IF(J238=0,0,'تنظیمات'!$B$7*INT(F238*I238/(J238*'تنظیمات'!$B$7)))</f>
        <v/>
      </c>
      <c r="L238" s="10">
        <f>IF(J238=0,0,F238*I238-J238*'تنظیمات'!$B$7*INT(F238*I238/(J238*'تنظیمات'!$B$7)))</f>
        <v/>
      </c>
      <c r="M238" s="10">
        <f>1+COUNTIFS($A$5:$A$265,A238,$L$5:$L$265,"&gt;"&amp;L238)+COUNTIFS($A$5:$A$265,A238,$L$5:$L$265,L238,$D$5:$D$265,"&lt;"&amp;D238)</f>
        <v/>
      </c>
      <c r="N238" s="20">
        <f>IF(J238=0,0,F238-SUMIFS($K$5:$K$265,$A$5:$A$265,A238))</f>
        <v/>
      </c>
      <c r="O238" s="10">
        <f>INT(N238/'تنظیمات'!$B$7)</f>
        <v/>
      </c>
      <c r="P238" s="10">
        <f>N238-O238*'تنظیمات'!$B$7</f>
        <v/>
      </c>
      <c r="Q238" s="20">
        <f>IF(J238=0,0,K238+IF(M238&lt;=O238,'تنظیمات'!$B$7,0)+IF(M238=1,P238,0))</f>
        <v/>
      </c>
      <c r="R238" s="22">
        <f>'سطرهای تسهیم'!F30</f>
        <v/>
      </c>
      <c r="S238" s="22">
        <f>'سطرهای تسهیم'!G30</f>
        <v/>
      </c>
      <c r="T238" s="4">
        <f>IFERROR(INDEX('دسته‌ها'!$D$5:$D$25,MATCH(S238,'دسته‌ها'!$A$5:$A$25,0)),"خیر")</f>
        <v/>
      </c>
    </row>
    <row r="239">
      <c r="A239" s="22">
        <f>'سطرهای تسهیم'!A31</f>
        <v/>
      </c>
      <c r="B239" s="22">
        <f>'سطرهای تسهیم'!B31</f>
        <v/>
      </c>
      <c r="C239" s="22">
        <f>'واحدها'!A5</f>
        <v/>
      </c>
      <c r="D239" s="12">
        <f>'واحدها'!H5</f>
        <v/>
      </c>
      <c r="E239" s="22">
        <f>'سطرهای تسهیم'!D31</f>
        <v/>
      </c>
      <c r="F239" s="19">
        <f>'سطرهای تسهیم'!E31</f>
        <v/>
      </c>
      <c r="G239" s="12">
        <f>IF('واحدها'!F5="بله",'شمول'!B19,0)</f>
        <v/>
      </c>
      <c r="H239" s="10">
        <f>CHOOSE(MATCH(E239,'فهرست‌ها'!$A$4:$A$13,0),1,'واحدها'!E5,'واحدها'!D5*100,'واحدها'!J5,'واحدها'!J5,'وزن‌ها'!B19,'وزن‌ها'!B19,'واحدها'!K5,'واحدها'!L5,0)</f>
        <v/>
      </c>
      <c r="I239" s="10">
        <f>G239*H239</f>
        <v/>
      </c>
      <c r="J239" s="10">
        <f>SUMIFS($I$5:$I$265,$A$5:$A$265,A239)</f>
        <v/>
      </c>
      <c r="K239" s="20">
        <f>IF(J239=0,0,'تنظیمات'!$B$7*INT(F239*I239/(J239*'تنظیمات'!$B$7)))</f>
        <v/>
      </c>
      <c r="L239" s="10">
        <f>IF(J239=0,0,F239*I239-J239*'تنظیمات'!$B$7*INT(F239*I239/(J239*'تنظیمات'!$B$7)))</f>
        <v/>
      </c>
      <c r="M239" s="10">
        <f>1+COUNTIFS($A$5:$A$265,A239,$L$5:$L$265,"&gt;"&amp;L239)+COUNTIFS($A$5:$A$265,A239,$L$5:$L$265,L239,$D$5:$D$265,"&lt;"&amp;D239)</f>
        <v/>
      </c>
      <c r="N239" s="20">
        <f>IF(J239=0,0,F239-SUMIFS($K$5:$K$265,$A$5:$A$265,A239))</f>
        <v/>
      </c>
      <c r="O239" s="10">
        <f>INT(N239/'تنظیمات'!$B$7)</f>
        <v/>
      </c>
      <c r="P239" s="10">
        <f>N239-O239*'تنظیمات'!$B$7</f>
        <v/>
      </c>
      <c r="Q239" s="20">
        <f>IF(J239=0,0,K239+IF(M239&lt;=O239,'تنظیمات'!$B$7,0)+IF(M239=1,P239,0))</f>
        <v/>
      </c>
      <c r="R239" s="22">
        <f>'سطرهای تسهیم'!F31</f>
        <v/>
      </c>
      <c r="S239" s="22">
        <f>'سطرهای تسهیم'!G31</f>
        <v/>
      </c>
      <c r="T239" s="4">
        <f>IFERROR(INDEX('دسته‌ها'!$D$5:$D$25,MATCH(S239,'دسته‌ها'!$A$5:$A$25,0)),"خیر")</f>
        <v/>
      </c>
    </row>
    <row r="240">
      <c r="A240" s="22">
        <f>'سطرهای تسهیم'!A31</f>
        <v/>
      </c>
      <c r="B240" s="22">
        <f>'سطرهای تسهیم'!B31</f>
        <v/>
      </c>
      <c r="C240" s="22">
        <f>'واحدها'!A6</f>
        <v/>
      </c>
      <c r="D240" s="12">
        <f>'واحدها'!H6</f>
        <v/>
      </c>
      <c r="E240" s="22">
        <f>'سطرهای تسهیم'!D31</f>
        <v/>
      </c>
      <c r="F240" s="19">
        <f>'سطرهای تسهیم'!E31</f>
        <v/>
      </c>
      <c r="G240" s="12">
        <f>IF('واحدها'!F6="بله",'شمول'!C19,0)</f>
        <v/>
      </c>
      <c r="H240" s="10">
        <f>CHOOSE(MATCH(E240,'فهرست‌ها'!$A$4:$A$13,0),1,'واحدها'!E6,'واحدها'!D6*100,'واحدها'!J6,'واحدها'!J6,'وزن‌ها'!C19,'وزن‌ها'!C19,'واحدها'!K6,'واحدها'!L6,0)</f>
        <v/>
      </c>
      <c r="I240" s="10">
        <f>G240*H240</f>
        <v/>
      </c>
      <c r="J240" s="10">
        <f>SUMIFS($I$5:$I$265,$A$5:$A$265,A240)</f>
        <v/>
      </c>
      <c r="K240" s="20">
        <f>IF(J240=0,0,'تنظیمات'!$B$7*INT(F240*I240/(J240*'تنظیمات'!$B$7)))</f>
        <v/>
      </c>
      <c r="L240" s="10">
        <f>IF(J240=0,0,F240*I240-J240*'تنظیمات'!$B$7*INT(F240*I240/(J240*'تنظیمات'!$B$7)))</f>
        <v/>
      </c>
      <c r="M240" s="10">
        <f>1+COUNTIFS($A$5:$A$265,A240,$L$5:$L$265,"&gt;"&amp;L240)+COUNTIFS($A$5:$A$265,A240,$L$5:$L$265,L240,$D$5:$D$265,"&lt;"&amp;D240)</f>
        <v/>
      </c>
      <c r="N240" s="20">
        <f>IF(J240=0,0,F240-SUMIFS($K$5:$K$265,$A$5:$A$265,A240))</f>
        <v/>
      </c>
      <c r="O240" s="10">
        <f>INT(N240/'تنظیمات'!$B$7)</f>
        <v/>
      </c>
      <c r="P240" s="10">
        <f>N240-O240*'تنظیمات'!$B$7</f>
        <v/>
      </c>
      <c r="Q240" s="20">
        <f>IF(J240=0,0,K240+IF(M240&lt;=O240,'تنظیمات'!$B$7,0)+IF(M240=1,P240,0))</f>
        <v/>
      </c>
      <c r="R240" s="22">
        <f>'سطرهای تسهیم'!F31</f>
        <v/>
      </c>
      <c r="S240" s="22">
        <f>'سطرهای تسهیم'!G31</f>
        <v/>
      </c>
      <c r="T240" s="4">
        <f>IFERROR(INDEX('دسته‌ها'!$D$5:$D$25,MATCH(S240,'دسته‌ها'!$A$5:$A$25,0)),"خیر")</f>
        <v/>
      </c>
    </row>
    <row r="241">
      <c r="A241" s="22">
        <f>'سطرهای تسهیم'!A31</f>
        <v/>
      </c>
      <c r="B241" s="22">
        <f>'سطرهای تسهیم'!B31</f>
        <v/>
      </c>
      <c r="C241" s="22">
        <f>'واحدها'!A7</f>
        <v/>
      </c>
      <c r="D241" s="12">
        <f>'واحدها'!H7</f>
        <v/>
      </c>
      <c r="E241" s="22">
        <f>'سطرهای تسهیم'!D31</f>
        <v/>
      </c>
      <c r="F241" s="19">
        <f>'سطرهای تسهیم'!E31</f>
        <v/>
      </c>
      <c r="G241" s="12">
        <f>IF('واحدها'!F7="بله",'شمول'!D19,0)</f>
        <v/>
      </c>
      <c r="H241" s="10">
        <f>CHOOSE(MATCH(E241,'فهرست‌ها'!$A$4:$A$13,0),1,'واحدها'!E7,'واحدها'!D7*100,'واحدها'!J7,'واحدها'!J7,'وزن‌ها'!D19,'وزن‌ها'!D19,'واحدها'!K7,'واحدها'!L7,0)</f>
        <v/>
      </c>
      <c r="I241" s="10">
        <f>G241*H241</f>
        <v/>
      </c>
      <c r="J241" s="10">
        <f>SUMIFS($I$5:$I$265,$A$5:$A$265,A241)</f>
        <v/>
      </c>
      <c r="K241" s="20">
        <f>IF(J241=0,0,'تنظیمات'!$B$7*INT(F241*I241/(J241*'تنظیمات'!$B$7)))</f>
        <v/>
      </c>
      <c r="L241" s="10">
        <f>IF(J241=0,0,F241*I241-J241*'تنظیمات'!$B$7*INT(F241*I241/(J241*'تنظیمات'!$B$7)))</f>
        <v/>
      </c>
      <c r="M241" s="10">
        <f>1+COUNTIFS($A$5:$A$265,A241,$L$5:$L$265,"&gt;"&amp;L241)+COUNTIFS($A$5:$A$265,A241,$L$5:$L$265,L241,$D$5:$D$265,"&lt;"&amp;D241)</f>
        <v/>
      </c>
      <c r="N241" s="20">
        <f>IF(J241=0,0,F241-SUMIFS($K$5:$K$265,$A$5:$A$265,A241))</f>
        <v/>
      </c>
      <c r="O241" s="10">
        <f>INT(N241/'تنظیمات'!$B$7)</f>
        <v/>
      </c>
      <c r="P241" s="10">
        <f>N241-O241*'تنظیمات'!$B$7</f>
        <v/>
      </c>
      <c r="Q241" s="20">
        <f>IF(J241=0,0,K241+IF(M241&lt;=O241,'تنظیمات'!$B$7,0)+IF(M241=1,P241,0))</f>
        <v/>
      </c>
      <c r="R241" s="22">
        <f>'سطرهای تسهیم'!F31</f>
        <v/>
      </c>
      <c r="S241" s="22">
        <f>'سطرهای تسهیم'!G31</f>
        <v/>
      </c>
      <c r="T241" s="4">
        <f>IFERROR(INDEX('دسته‌ها'!$D$5:$D$25,MATCH(S241,'دسته‌ها'!$A$5:$A$25,0)),"خیر")</f>
        <v/>
      </c>
    </row>
    <row r="242">
      <c r="A242" s="22">
        <f>'سطرهای تسهیم'!A31</f>
        <v/>
      </c>
      <c r="B242" s="22">
        <f>'سطرهای تسهیم'!B31</f>
        <v/>
      </c>
      <c r="C242" s="22">
        <f>'واحدها'!A8</f>
        <v/>
      </c>
      <c r="D242" s="12">
        <f>'واحدها'!H8</f>
        <v/>
      </c>
      <c r="E242" s="22">
        <f>'سطرهای تسهیم'!D31</f>
        <v/>
      </c>
      <c r="F242" s="19">
        <f>'سطرهای تسهیم'!E31</f>
        <v/>
      </c>
      <c r="G242" s="12">
        <f>IF('واحدها'!F8="بله",'شمول'!E19,0)</f>
        <v/>
      </c>
      <c r="H242" s="10">
        <f>CHOOSE(MATCH(E242,'فهرست‌ها'!$A$4:$A$13,0),1,'واحدها'!E8,'واحدها'!D8*100,'واحدها'!J8,'واحدها'!J8,'وزن‌ها'!E19,'وزن‌ها'!E19,'واحدها'!K8,'واحدها'!L8,0)</f>
        <v/>
      </c>
      <c r="I242" s="10">
        <f>G242*H242</f>
        <v/>
      </c>
      <c r="J242" s="10">
        <f>SUMIFS($I$5:$I$265,$A$5:$A$265,A242)</f>
        <v/>
      </c>
      <c r="K242" s="20">
        <f>IF(J242=0,0,'تنظیمات'!$B$7*INT(F242*I242/(J242*'تنظیمات'!$B$7)))</f>
        <v/>
      </c>
      <c r="L242" s="10">
        <f>IF(J242=0,0,F242*I242-J242*'تنظیمات'!$B$7*INT(F242*I242/(J242*'تنظیمات'!$B$7)))</f>
        <v/>
      </c>
      <c r="M242" s="10">
        <f>1+COUNTIFS($A$5:$A$265,A242,$L$5:$L$265,"&gt;"&amp;L242)+COUNTIFS($A$5:$A$265,A242,$L$5:$L$265,L242,$D$5:$D$265,"&lt;"&amp;D242)</f>
        <v/>
      </c>
      <c r="N242" s="20">
        <f>IF(J242=0,0,F242-SUMIFS($K$5:$K$265,$A$5:$A$265,A242))</f>
        <v/>
      </c>
      <c r="O242" s="10">
        <f>INT(N242/'تنظیمات'!$B$7)</f>
        <v/>
      </c>
      <c r="P242" s="10">
        <f>N242-O242*'تنظیمات'!$B$7</f>
        <v/>
      </c>
      <c r="Q242" s="20">
        <f>IF(J242=0,0,K242+IF(M242&lt;=O242,'تنظیمات'!$B$7,0)+IF(M242=1,P242,0))</f>
        <v/>
      </c>
      <c r="R242" s="22">
        <f>'سطرهای تسهیم'!F31</f>
        <v/>
      </c>
      <c r="S242" s="22">
        <f>'سطرهای تسهیم'!G31</f>
        <v/>
      </c>
      <c r="T242" s="4">
        <f>IFERROR(INDEX('دسته‌ها'!$D$5:$D$25,MATCH(S242,'دسته‌ها'!$A$5:$A$25,0)),"خیر")</f>
        <v/>
      </c>
    </row>
    <row r="243">
      <c r="A243" s="22">
        <f>'سطرهای تسهیم'!A31</f>
        <v/>
      </c>
      <c r="B243" s="22">
        <f>'سطرهای تسهیم'!B31</f>
        <v/>
      </c>
      <c r="C243" s="22">
        <f>'واحدها'!A9</f>
        <v/>
      </c>
      <c r="D243" s="12">
        <f>'واحدها'!H9</f>
        <v/>
      </c>
      <c r="E243" s="22">
        <f>'سطرهای تسهیم'!D31</f>
        <v/>
      </c>
      <c r="F243" s="19">
        <f>'سطرهای تسهیم'!E31</f>
        <v/>
      </c>
      <c r="G243" s="12">
        <f>IF('واحدها'!F9="بله",'شمول'!F19,0)</f>
        <v/>
      </c>
      <c r="H243" s="10">
        <f>CHOOSE(MATCH(E243,'فهرست‌ها'!$A$4:$A$13,0),1,'واحدها'!E9,'واحدها'!D9*100,'واحدها'!J9,'واحدها'!J9,'وزن‌ها'!F19,'وزن‌ها'!F19,'واحدها'!K9,'واحدها'!L9,0)</f>
        <v/>
      </c>
      <c r="I243" s="10">
        <f>G243*H243</f>
        <v/>
      </c>
      <c r="J243" s="10">
        <f>SUMIFS($I$5:$I$265,$A$5:$A$265,A243)</f>
        <v/>
      </c>
      <c r="K243" s="20">
        <f>IF(J243=0,0,'تنظیمات'!$B$7*INT(F243*I243/(J243*'تنظیمات'!$B$7)))</f>
        <v/>
      </c>
      <c r="L243" s="10">
        <f>IF(J243=0,0,F243*I243-J243*'تنظیمات'!$B$7*INT(F243*I243/(J243*'تنظیمات'!$B$7)))</f>
        <v/>
      </c>
      <c r="M243" s="10">
        <f>1+COUNTIFS($A$5:$A$265,A243,$L$5:$L$265,"&gt;"&amp;L243)+COUNTIFS($A$5:$A$265,A243,$L$5:$L$265,L243,$D$5:$D$265,"&lt;"&amp;D243)</f>
        <v/>
      </c>
      <c r="N243" s="20">
        <f>IF(J243=0,0,F243-SUMIFS($K$5:$K$265,$A$5:$A$265,A243))</f>
        <v/>
      </c>
      <c r="O243" s="10">
        <f>INT(N243/'تنظیمات'!$B$7)</f>
        <v/>
      </c>
      <c r="P243" s="10">
        <f>N243-O243*'تنظیمات'!$B$7</f>
        <v/>
      </c>
      <c r="Q243" s="20">
        <f>IF(J243=0,0,K243+IF(M243&lt;=O243,'تنظیمات'!$B$7,0)+IF(M243=1,P243,0))</f>
        <v/>
      </c>
      <c r="R243" s="22">
        <f>'سطرهای تسهیم'!F31</f>
        <v/>
      </c>
      <c r="S243" s="22">
        <f>'سطرهای تسهیم'!G31</f>
        <v/>
      </c>
      <c r="T243" s="4">
        <f>IFERROR(INDEX('دسته‌ها'!$D$5:$D$25,MATCH(S243,'دسته‌ها'!$A$5:$A$25,0)),"خیر")</f>
        <v/>
      </c>
    </row>
    <row r="244">
      <c r="A244" s="22">
        <f>'سطرهای تسهیم'!A31</f>
        <v/>
      </c>
      <c r="B244" s="22">
        <f>'سطرهای تسهیم'!B31</f>
        <v/>
      </c>
      <c r="C244" s="22">
        <f>'واحدها'!A10</f>
        <v/>
      </c>
      <c r="D244" s="12">
        <f>'واحدها'!H10</f>
        <v/>
      </c>
      <c r="E244" s="22">
        <f>'سطرهای تسهیم'!D31</f>
        <v/>
      </c>
      <c r="F244" s="19">
        <f>'سطرهای تسهیم'!E31</f>
        <v/>
      </c>
      <c r="G244" s="12">
        <f>IF('واحدها'!F10="بله",'شمول'!G19,0)</f>
        <v/>
      </c>
      <c r="H244" s="10">
        <f>CHOOSE(MATCH(E244,'فهرست‌ها'!$A$4:$A$13,0),1,'واحدها'!E10,'واحدها'!D10*100,'واحدها'!J10,'واحدها'!J10,'وزن‌ها'!G19,'وزن‌ها'!G19,'واحدها'!K10,'واحدها'!L10,0)</f>
        <v/>
      </c>
      <c r="I244" s="10">
        <f>G244*H244</f>
        <v/>
      </c>
      <c r="J244" s="10">
        <f>SUMIFS($I$5:$I$265,$A$5:$A$265,A244)</f>
        <v/>
      </c>
      <c r="K244" s="20">
        <f>IF(J244=0,0,'تنظیمات'!$B$7*INT(F244*I244/(J244*'تنظیمات'!$B$7)))</f>
        <v/>
      </c>
      <c r="L244" s="10">
        <f>IF(J244=0,0,F244*I244-J244*'تنظیمات'!$B$7*INT(F244*I244/(J244*'تنظیمات'!$B$7)))</f>
        <v/>
      </c>
      <c r="M244" s="10">
        <f>1+COUNTIFS($A$5:$A$265,A244,$L$5:$L$265,"&gt;"&amp;L244)+COUNTIFS($A$5:$A$265,A244,$L$5:$L$265,L244,$D$5:$D$265,"&lt;"&amp;D244)</f>
        <v/>
      </c>
      <c r="N244" s="20">
        <f>IF(J244=0,0,F244-SUMIFS($K$5:$K$265,$A$5:$A$265,A244))</f>
        <v/>
      </c>
      <c r="O244" s="10">
        <f>INT(N244/'تنظیمات'!$B$7)</f>
        <v/>
      </c>
      <c r="P244" s="10">
        <f>N244-O244*'تنظیمات'!$B$7</f>
        <v/>
      </c>
      <c r="Q244" s="20">
        <f>IF(J244=0,0,K244+IF(M244&lt;=O244,'تنظیمات'!$B$7,0)+IF(M244=1,P244,0))</f>
        <v/>
      </c>
      <c r="R244" s="22">
        <f>'سطرهای تسهیم'!F31</f>
        <v/>
      </c>
      <c r="S244" s="22">
        <f>'سطرهای تسهیم'!G31</f>
        <v/>
      </c>
      <c r="T244" s="4">
        <f>IFERROR(INDEX('دسته‌ها'!$D$5:$D$25,MATCH(S244,'دسته‌ها'!$A$5:$A$25,0)),"خیر")</f>
        <v/>
      </c>
    </row>
    <row r="245">
      <c r="A245" s="22">
        <f>'سطرهای تسهیم'!A31</f>
        <v/>
      </c>
      <c r="B245" s="22">
        <f>'سطرهای تسهیم'!B31</f>
        <v/>
      </c>
      <c r="C245" s="22">
        <f>'واحدها'!A11</f>
        <v/>
      </c>
      <c r="D245" s="12">
        <f>'واحدها'!H11</f>
        <v/>
      </c>
      <c r="E245" s="22">
        <f>'سطرهای تسهیم'!D31</f>
        <v/>
      </c>
      <c r="F245" s="19">
        <f>'سطرهای تسهیم'!E31</f>
        <v/>
      </c>
      <c r="G245" s="12">
        <f>IF('واحدها'!F11="بله",'شمول'!H19,0)</f>
        <v/>
      </c>
      <c r="H245" s="10">
        <f>CHOOSE(MATCH(E245,'فهرست‌ها'!$A$4:$A$13,0),1,'واحدها'!E11,'واحدها'!D11*100,'واحدها'!J11,'واحدها'!J11,'وزن‌ها'!H19,'وزن‌ها'!H19,'واحدها'!K11,'واحدها'!L11,0)</f>
        <v/>
      </c>
      <c r="I245" s="10">
        <f>G245*H245</f>
        <v/>
      </c>
      <c r="J245" s="10">
        <f>SUMIFS($I$5:$I$265,$A$5:$A$265,A245)</f>
        <v/>
      </c>
      <c r="K245" s="20">
        <f>IF(J245=0,0,'تنظیمات'!$B$7*INT(F245*I245/(J245*'تنظیمات'!$B$7)))</f>
        <v/>
      </c>
      <c r="L245" s="10">
        <f>IF(J245=0,0,F245*I245-J245*'تنظیمات'!$B$7*INT(F245*I245/(J245*'تنظیمات'!$B$7)))</f>
        <v/>
      </c>
      <c r="M245" s="10">
        <f>1+COUNTIFS($A$5:$A$265,A245,$L$5:$L$265,"&gt;"&amp;L245)+COUNTIFS($A$5:$A$265,A245,$L$5:$L$265,L245,$D$5:$D$265,"&lt;"&amp;D245)</f>
        <v/>
      </c>
      <c r="N245" s="20">
        <f>IF(J245=0,0,F245-SUMIFS($K$5:$K$265,$A$5:$A$265,A245))</f>
        <v/>
      </c>
      <c r="O245" s="10">
        <f>INT(N245/'تنظیمات'!$B$7)</f>
        <v/>
      </c>
      <c r="P245" s="10">
        <f>N245-O245*'تنظیمات'!$B$7</f>
        <v/>
      </c>
      <c r="Q245" s="20">
        <f>IF(J245=0,0,K245+IF(M245&lt;=O245,'تنظیمات'!$B$7,0)+IF(M245=1,P245,0))</f>
        <v/>
      </c>
      <c r="R245" s="22">
        <f>'سطرهای تسهیم'!F31</f>
        <v/>
      </c>
      <c r="S245" s="22">
        <f>'سطرهای تسهیم'!G31</f>
        <v/>
      </c>
      <c r="T245" s="4">
        <f>IFERROR(INDEX('دسته‌ها'!$D$5:$D$25,MATCH(S245,'دسته‌ها'!$A$5:$A$25,0)),"خیر")</f>
        <v/>
      </c>
    </row>
    <row r="246">
      <c r="A246" s="22">
        <f>'سطرهای تسهیم'!A31</f>
        <v/>
      </c>
      <c r="B246" s="22">
        <f>'سطرهای تسهیم'!B31</f>
        <v/>
      </c>
      <c r="C246" s="22">
        <f>'واحدها'!A12</f>
        <v/>
      </c>
      <c r="D246" s="12">
        <f>'واحدها'!H12</f>
        <v/>
      </c>
      <c r="E246" s="22">
        <f>'سطرهای تسهیم'!D31</f>
        <v/>
      </c>
      <c r="F246" s="19">
        <f>'سطرهای تسهیم'!E31</f>
        <v/>
      </c>
      <c r="G246" s="12">
        <f>IF('واحدها'!F12="بله",'شمول'!I19,0)</f>
        <v/>
      </c>
      <c r="H246" s="10">
        <f>CHOOSE(MATCH(E246,'فهرست‌ها'!$A$4:$A$13,0),1,'واحدها'!E12,'واحدها'!D12*100,'واحدها'!J12,'واحدها'!J12,'وزن‌ها'!I19,'وزن‌ها'!I19,'واحدها'!K12,'واحدها'!L12,0)</f>
        <v/>
      </c>
      <c r="I246" s="10">
        <f>G246*H246</f>
        <v/>
      </c>
      <c r="J246" s="10">
        <f>SUMIFS($I$5:$I$265,$A$5:$A$265,A246)</f>
        <v/>
      </c>
      <c r="K246" s="20">
        <f>IF(J246=0,0,'تنظیمات'!$B$7*INT(F246*I246/(J246*'تنظیمات'!$B$7)))</f>
        <v/>
      </c>
      <c r="L246" s="10">
        <f>IF(J246=0,0,F246*I246-J246*'تنظیمات'!$B$7*INT(F246*I246/(J246*'تنظیمات'!$B$7)))</f>
        <v/>
      </c>
      <c r="M246" s="10">
        <f>1+COUNTIFS($A$5:$A$265,A246,$L$5:$L$265,"&gt;"&amp;L246)+COUNTIFS($A$5:$A$265,A246,$L$5:$L$265,L246,$D$5:$D$265,"&lt;"&amp;D246)</f>
        <v/>
      </c>
      <c r="N246" s="20">
        <f>IF(J246=0,0,F246-SUMIFS($K$5:$K$265,$A$5:$A$265,A246))</f>
        <v/>
      </c>
      <c r="O246" s="10">
        <f>INT(N246/'تنظیمات'!$B$7)</f>
        <v/>
      </c>
      <c r="P246" s="10">
        <f>N246-O246*'تنظیمات'!$B$7</f>
        <v/>
      </c>
      <c r="Q246" s="20">
        <f>IF(J246=0,0,K246+IF(M246&lt;=O246,'تنظیمات'!$B$7,0)+IF(M246=1,P246,0))</f>
        <v/>
      </c>
      <c r="R246" s="22">
        <f>'سطرهای تسهیم'!F31</f>
        <v/>
      </c>
      <c r="S246" s="22">
        <f>'سطرهای تسهیم'!G31</f>
        <v/>
      </c>
      <c r="T246" s="4">
        <f>IFERROR(INDEX('دسته‌ها'!$D$5:$D$25,MATCH(S246,'دسته‌ها'!$A$5:$A$25,0)),"خیر")</f>
        <v/>
      </c>
    </row>
    <row r="247">
      <c r="A247" s="22">
        <f>'سطرهای تسهیم'!A31</f>
        <v/>
      </c>
      <c r="B247" s="22">
        <f>'سطرهای تسهیم'!B31</f>
        <v/>
      </c>
      <c r="C247" s="22">
        <f>'واحدها'!A13</f>
        <v/>
      </c>
      <c r="D247" s="12">
        <f>'واحدها'!H13</f>
        <v/>
      </c>
      <c r="E247" s="22">
        <f>'سطرهای تسهیم'!D31</f>
        <v/>
      </c>
      <c r="F247" s="19">
        <f>'سطرهای تسهیم'!E31</f>
        <v/>
      </c>
      <c r="G247" s="12">
        <f>IF('واحدها'!F13="بله",'شمول'!J19,0)</f>
        <v/>
      </c>
      <c r="H247" s="10">
        <f>CHOOSE(MATCH(E247,'فهرست‌ها'!$A$4:$A$13,0),1,'واحدها'!E13,'واحدها'!D13*100,'واحدها'!J13,'واحدها'!J13,'وزن‌ها'!J19,'وزن‌ها'!J19,'واحدها'!K13,'واحدها'!L13,0)</f>
        <v/>
      </c>
      <c r="I247" s="10">
        <f>G247*H247</f>
        <v/>
      </c>
      <c r="J247" s="10">
        <f>SUMIFS($I$5:$I$265,$A$5:$A$265,A247)</f>
        <v/>
      </c>
      <c r="K247" s="20">
        <f>IF(J247=0,0,'تنظیمات'!$B$7*INT(F247*I247/(J247*'تنظیمات'!$B$7)))</f>
        <v/>
      </c>
      <c r="L247" s="10">
        <f>IF(J247=0,0,F247*I247-J247*'تنظیمات'!$B$7*INT(F247*I247/(J247*'تنظیمات'!$B$7)))</f>
        <v/>
      </c>
      <c r="M247" s="10">
        <f>1+COUNTIFS($A$5:$A$265,A247,$L$5:$L$265,"&gt;"&amp;L247)+COUNTIFS($A$5:$A$265,A247,$L$5:$L$265,L247,$D$5:$D$265,"&lt;"&amp;D247)</f>
        <v/>
      </c>
      <c r="N247" s="20">
        <f>IF(J247=0,0,F247-SUMIFS($K$5:$K$265,$A$5:$A$265,A247))</f>
        <v/>
      </c>
      <c r="O247" s="10">
        <f>INT(N247/'تنظیمات'!$B$7)</f>
        <v/>
      </c>
      <c r="P247" s="10">
        <f>N247-O247*'تنظیمات'!$B$7</f>
        <v/>
      </c>
      <c r="Q247" s="20">
        <f>IF(J247=0,0,K247+IF(M247&lt;=O247,'تنظیمات'!$B$7,0)+IF(M247=1,P247,0))</f>
        <v/>
      </c>
      <c r="R247" s="22">
        <f>'سطرهای تسهیم'!F31</f>
        <v/>
      </c>
      <c r="S247" s="22">
        <f>'سطرهای تسهیم'!G31</f>
        <v/>
      </c>
      <c r="T247" s="4">
        <f>IFERROR(INDEX('دسته‌ها'!$D$5:$D$25,MATCH(S247,'دسته‌ها'!$A$5:$A$25,0)),"خیر")</f>
        <v/>
      </c>
    </row>
    <row r="248">
      <c r="A248" s="22">
        <f>'سطرهای تسهیم'!A32</f>
        <v/>
      </c>
      <c r="B248" s="22">
        <f>'سطرهای تسهیم'!B32</f>
        <v/>
      </c>
      <c r="C248" s="22">
        <f>'واحدها'!A5</f>
        <v/>
      </c>
      <c r="D248" s="12">
        <f>'واحدها'!H5</f>
        <v/>
      </c>
      <c r="E248" s="22">
        <f>'سطرهای تسهیم'!D32</f>
        <v/>
      </c>
      <c r="F248" s="19">
        <f>'سطرهای تسهیم'!E32</f>
        <v/>
      </c>
      <c r="G248" s="12">
        <f>IF('واحدها'!F5="بله",'شمول'!B20,0)</f>
        <v/>
      </c>
      <c r="H248" s="10">
        <f>CHOOSE(MATCH(E248,'فهرست‌ها'!$A$4:$A$13,0),1,'واحدها'!E5,'واحدها'!D5*100,'واحدها'!J5,'واحدها'!J5,'وزن‌ها'!B20,'وزن‌ها'!B20,'واحدها'!K5,'واحدها'!L5,0)</f>
        <v/>
      </c>
      <c r="I248" s="10">
        <f>G248*H248</f>
        <v/>
      </c>
      <c r="J248" s="10">
        <f>SUMIFS($I$5:$I$265,$A$5:$A$265,A248)</f>
        <v/>
      </c>
      <c r="K248" s="20">
        <f>IF(J248=0,0,'تنظیمات'!$B$7*INT(F248*I248/(J248*'تنظیمات'!$B$7)))</f>
        <v/>
      </c>
      <c r="L248" s="10">
        <f>IF(J248=0,0,F248*I248-J248*'تنظیمات'!$B$7*INT(F248*I248/(J248*'تنظیمات'!$B$7)))</f>
        <v/>
      </c>
      <c r="M248" s="10">
        <f>1+COUNTIFS($A$5:$A$265,A248,$L$5:$L$265,"&gt;"&amp;L248)+COUNTIFS($A$5:$A$265,A248,$L$5:$L$265,L248,$D$5:$D$265,"&lt;"&amp;D248)</f>
        <v/>
      </c>
      <c r="N248" s="20">
        <f>IF(J248=0,0,F248-SUMIFS($K$5:$K$265,$A$5:$A$265,A248))</f>
        <v/>
      </c>
      <c r="O248" s="10">
        <f>INT(N248/'تنظیمات'!$B$7)</f>
        <v/>
      </c>
      <c r="P248" s="10">
        <f>N248-O248*'تنظیمات'!$B$7</f>
        <v/>
      </c>
      <c r="Q248" s="20">
        <f>IF(J248=0,0,K248+IF(M248&lt;=O248,'تنظیمات'!$B$7,0)+IF(M248=1,P248,0))</f>
        <v/>
      </c>
      <c r="R248" s="22">
        <f>'سطرهای تسهیم'!F32</f>
        <v/>
      </c>
      <c r="S248" s="22">
        <f>'سطرهای تسهیم'!G32</f>
        <v/>
      </c>
      <c r="T248" s="4">
        <f>IFERROR(INDEX('دسته‌ها'!$D$5:$D$25,MATCH(S248,'دسته‌ها'!$A$5:$A$25,0)),"خیر")</f>
        <v/>
      </c>
    </row>
    <row r="249">
      <c r="A249" s="22">
        <f>'سطرهای تسهیم'!A32</f>
        <v/>
      </c>
      <c r="B249" s="22">
        <f>'سطرهای تسهیم'!B32</f>
        <v/>
      </c>
      <c r="C249" s="22">
        <f>'واحدها'!A6</f>
        <v/>
      </c>
      <c r="D249" s="12">
        <f>'واحدها'!H6</f>
        <v/>
      </c>
      <c r="E249" s="22">
        <f>'سطرهای تسهیم'!D32</f>
        <v/>
      </c>
      <c r="F249" s="19">
        <f>'سطرهای تسهیم'!E32</f>
        <v/>
      </c>
      <c r="G249" s="12">
        <f>IF('واحدها'!F6="بله",'شمول'!C20,0)</f>
        <v/>
      </c>
      <c r="H249" s="10">
        <f>CHOOSE(MATCH(E249,'فهرست‌ها'!$A$4:$A$13,0),1,'واحدها'!E6,'واحدها'!D6*100,'واحدها'!J6,'واحدها'!J6,'وزن‌ها'!C20,'وزن‌ها'!C20,'واحدها'!K6,'واحدها'!L6,0)</f>
        <v/>
      </c>
      <c r="I249" s="10">
        <f>G249*H249</f>
        <v/>
      </c>
      <c r="J249" s="10">
        <f>SUMIFS($I$5:$I$265,$A$5:$A$265,A249)</f>
        <v/>
      </c>
      <c r="K249" s="20">
        <f>IF(J249=0,0,'تنظیمات'!$B$7*INT(F249*I249/(J249*'تنظیمات'!$B$7)))</f>
        <v/>
      </c>
      <c r="L249" s="10">
        <f>IF(J249=0,0,F249*I249-J249*'تنظیمات'!$B$7*INT(F249*I249/(J249*'تنظیمات'!$B$7)))</f>
        <v/>
      </c>
      <c r="M249" s="10">
        <f>1+COUNTIFS($A$5:$A$265,A249,$L$5:$L$265,"&gt;"&amp;L249)+COUNTIFS($A$5:$A$265,A249,$L$5:$L$265,L249,$D$5:$D$265,"&lt;"&amp;D249)</f>
        <v/>
      </c>
      <c r="N249" s="20">
        <f>IF(J249=0,0,F249-SUMIFS($K$5:$K$265,$A$5:$A$265,A249))</f>
        <v/>
      </c>
      <c r="O249" s="10">
        <f>INT(N249/'تنظیمات'!$B$7)</f>
        <v/>
      </c>
      <c r="P249" s="10">
        <f>N249-O249*'تنظیمات'!$B$7</f>
        <v/>
      </c>
      <c r="Q249" s="20">
        <f>IF(J249=0,0,K249+IF(M249&lt;=O249,'تنظیمات'!$B$7,0)+IF(M249=1,P249,0))</f>
        <v/>
      </c>
      <c r="R249" s="22">
        <f>'سطرهای تسهیم'!F32</f>
        <v/>
      </c>
      <c r="S249" s="22">
        <f>'سطرهای تسهیم'!G32</f>
        <v/>
      </c>
      <c r="T249" s="4">
        <f>IFERROR(INDEX('دسته‌ها'!$D$5:$D$25,MATCH(S249,'دسته‌ها'!$A$5:$A$25,0)),"خیر")</f>
        <v/>
      </c>
    </row>
    <row r="250">
      <c r="A250" s="22">
        <f>'سطرهای تسهیم'!A32</f>
        <v/>
      </c>
      <c r="B250" s="22">
        <f>'سطرهای تسهیم'!B32</f>
        <v/>
      </c>
      <c r="C250" s="22">
        <f>'واحدها'!A7</f>
        <v/>
      </c>
      <c r="D250" s="12">
        <f>'واحدها'!H7</f>
        <v/>
      </c>
      <c r="E250" s="22">
        <f>'سطرهای تسهیم'!D32</f>
        <v/>
      </c>
      <c r="F250" s="19">
        <f>'سطرهای تسهیم'!E32</f>
        <v/>
      </c>
      <c r="G250" s="12">
        <f>IF('واحدها'!F7="بله",'شمول'!D20,0)</f>
        <v/>
      </c>
      <c r="H250" s="10">
        <f>CHOOSE(MATCH(E250,'فهرست‌ها'!$A$4:$A$13,0),1,'واحدها'!E7,'واحدها'!D7*100,'واحدها'!J7,'واحدها'!J7,'وزن‌ها'!D20,'وزن‌ها'!D20,'واحدها'!K7,'واحدها'!L7,0)</f>
        <v/>
      </c>
      <c r="I250" s="10">
        <f>G250*H250</f>
        <v/>
      </c>
      <c r="J250" s="10">
        <f>SUMIFS($I$5:$I$265,$A$5:$A$265,A250)</f>
        <v/>
      </c>
      <c r="K250" s="20">
        <f>IF(J250=0,0,'تنظیمات'!$B$7*INT(F250*I250/(J250*'تنظیمات'!$B$7)))</f>
        <v/>
      </c>
      <c r="L250" s="10">
        <f>IF(J250=0,0,F250*I250-J250*'تنظیمات'!$B$7*INT(F250*I250/(J250*'تنظیمات'!$B$7)))</f>
        <v/>
      </c>
      <c r="M250" s="10">
        <f>1+COUNTIFS($A$5:$A$265,A250,$L$5:$L$265,"&gt;"&amp;L250)+COUNTIFS($A$5:$A$265,A250,$L$5:$L$265,L250,$D$5:$D$265,"&lt;"&amp;D250)</f>
        <v/>
      </c>
      <c r="N250" s="20">
        <f>IF(J250=0,0,F250-SUMIFS($K$5:$K$265,$A$5:$A$265,A250))</f>
        <v/>
      </c>
      <c r="O250" s="10">
        <f>INT(N250/'تنظیمات'!$B$7)</f>
        <v/>
      </c>
      <c r="P250" s="10">
        <f>N250-O250*'تنظیمات'!$B$7</f>
        <v/>
      </c>
      <c r="Q250" s="20">
        <f>IF(J250=0,0,K250+IF(M250&lt;=O250,'تنظیمات'!$B$7,0)+IF(M250=1,P250,0))</f>
        <v/>
      </c>
      <c r="R250" s="22">
        <f>'سطرهای تسهیم'!F32</f>
        <v/>
      </c>
      <c r="S250" s="22">
        <f>'سطرهای تسهیم'!G32</f>
        <v/>
      </c>
      <c r="T250" s="4">
        <f>IFERROR(INDEX('دسته‌ها'!$D$5:$D$25,MATCH(S250,'دسته‌ها'!$A$5:$A$25,0)),"خیر")</f>
        <v/>
      </c>
    </row>
    <row r="251">
      <c r="A251" s="22">
        <f>'سطرهای تسهیم'!A32</f>
        <v/>
      </c>
      <c r="B251" s="22">
        <f>'سطرهای تسهیم'!B32</f>
        <v/>
      </c>
      <c r="C251" s="22">
        <f>'واحدها'!A8</f>
        <v/>
      </c>
      <c r="D251" s="12">
        <f>'واحدها'!H8</f>
        <v/>
      </c>
      <c r="E251" s="22">
        <f>'سطرهای تسهیم'!D32</f>
        <v/>
      </c>
      <c r="F251" s="19">
        <f>'سطرهای تسهیم'!E32</f>
        <v/>
      </c>
      <c r="G251" s="12">
        <f>IF('واحدها'!F8="بله",'شمول'!E20,0)</f>
        <v/>
      </c>
      <c r="H251" s="10">
        <f>CHOOSE(MATCH(E251,'فهرست‌ها'!$A$4:$A$13,0),1,'واحدها'!E8,'واحدها'!D8*100,'واحدها'!J8,'واحدها'!J8,'وزن‌ها'!E20,'وزن‌ها'!E20,'واحدها'!K8,'واحدها'!L8,0)</f>
        <v/>
      </c>
      <c r="I251" s="10">
        <f>G251*H251</f>
        <v/>
      </c>
      <c r="J251" s="10">
        <f>SUMIFS($I$5:$I$265,$A$5:$A$265,A251)</f>
        <v/>
      </c>
      <c r="K251" s="20">
        <f>IF(J251=0,0,'تنظیمات'!$B$7*INT(F251*I251/(J251*'تنظیمات'!$B$7)))</f>
        <v/>
      </c>
      <c r="L251" s="10">
        <f>IF(J251=0,0,F251*I251-J251*'تنظیمات'!$B$7*INT(F251*I251/(J251*'تنظیمات'!$B$7)))</f>
        <v/>
      </c>
      <c r="M251" s="10">
        <f>1+COUNTIFS($A$5:$A$265,A251,$L$5:$L$265,"&gt;"&amp;L251)+COUNTIFS($A$5:$A$265,A251,$L$5:$L$265,L251,$D$5:$D$265,"&lt;"&amp;D251)</f>
        <v/>
      </c>
      <c r="N251" s="20">
        <f>IF(J251=0,0,F251-SUMIFS($K$5:$K$265,$A$5:$A$265,A251))</f>
        <v/>
      </c>
      <c r="O251" s="10">
        <f>INT(N251/'تنظیمات'!$B$7)</f>
        <v/>
      </c>
      <c r="P251" s="10">
        <f>N251-O251*'تنظیمات'!$B$7</f>
        <v/>
      </c>
      <c r="Q251" s="20">
        <f>IF(J251=0,0,K251+IF(M251&lt;=O251,'تنظیمات'!$B$7,0)+IF(M251=1,P251,0))</f>
        <v/>
      </c>
      <c r="R251" s="22">
        <f>'سطرهای تسهیم'!F32</f>
        <v/>
      </c>
      <c r="S251" s="22">
        <f>'سطرهای تسهیم'!G32</f>
        <v/>
      </c>
      <c r="T251" s="4">
        <f>IFERROR(INDEX('دسته‌ها'!$D$5:$D$25,MATCH(S251,'دسته‌ها'!$A$5:$A$25,0)),"خیر")</f>
        <v/>
      </c>
    </row>
    <row r="252">
      <c r="A252" s="22">
        <f>'سطرهای تسهیم'!A32</f>
        <v/>
      </c>
      <c r="B252" s="22">
        <f>'سطرهای تسهیم'!B32</f>
        <v/>
      </c>
      <c r="C252" s="22">
        <f>'واحدها'!A9</f>
        <v/>
      </c>
      <c r="D252" s="12">
        <f>'واحدها'!H9</f>
        <v/>
      </c>
      <c r="E252" s="22">
        <f>'سطرهای تسهیم'!D32</f>
        <v/>
      </c>
      <c r="F252" s="19">
        <f>'سطرهای تسهیم'!E32</f>
        <v/>
      </c>
      <c r="G252" s="12">
        <f>IF('واحدها'!F9="بله",'شمول'!F20,0)</f>
        <v/>
      </c>
      <c r="H252" s="10">
        <f>CHOOSE(MATCH(E252,'فهرست‌ها'!$A$4:$A$13,0),1,'واحدها'!E9,'واحدها'!D9*100,'واحدها'!J9,'واحدها'!J9,'وزن‌ها'!F20,'وزن‌ها'!F20,'واحدها'!K9,'واحدها'!L9,0)</f>
        <v/>
      </c>
      <c r="I252" s="10">
        <f>G252*H252</f>
        <v/>
      </c>
      <c r="J252" s="10">
        <f>SUMIFS($I$5:$I$265,$A$5:$A$265,A252)</f>
        <v/>
      </c>
      <c r="K252" s="20">
        <f>IF(J252=0,0,'تنظیمات'!$B$7*INT(F252*I252/(J252*'تنظیمات'!$B$7)))</f>
        <v/>
      </c>
      <c r="L252" s="10">
        <f>IF(J252=0,0,F252*I252-J252*'تنظیمات'!$B$7*INT(F252*I252/(J252*'تنظیمات'!$B$7)))</f>
        <v/>
      </c>
      <c r="M252" s="10">
        <f>1+COUNTIFS($A$5:$A$265,A252,$L$5:$L$265,"&gt;"&amp;L252)+COUNTIFS($A$5:$A$265,A252,$L$5:$L$265,L252,$D$5:$D$265,"&lt;"&amp;D252)</f>
        <v/>
      </c>
      <c r="N252" s="20">
        <f>IF(J252=0,0,F252-SUMIFS($K$5:$K$265,$A$5:$A$265,A252))</f>
        <v/>
      </c>
      <c r="O252" s="10">
        <f>INT(N252/'تنظیمات'!$B$7)</f>
        <v/>
      </c>
      <c r="P252" s="10">
        <f>N252-O252*'تنظیمات'!$B$7</f>
        <v/>
      </c>
      <c r="Q252" s="20">
        <f>IF(J252=0,0,K252+IF(M252&lt;=O252,'تنظیمات'!$B$7,0)+IF(M252=1,P252,0))</f>
        <v/>
      </c>
      <c r="R252" s="22">
        <f>'سطرهای تسهیم'!F32</f>
        <v/>
      </c>
      <c r="S252" s="22">
        <f>'سطرهای تسهیم'!G32</f>
        <v/>
      </c>
      <c r="T252" s="4">
        <f>IFERROR(INDEX('دسته‌ها'!$D$5:$D$25,MATCH(S252,'دسته‌ها'!$A$5:$A$25,0)),"خیر")</f>
        <v/>
      </c>
    </row>
    <row r="253">
      <c r="A253" s="22">
        <f>'سطرهای تسهیم'!A32</f>
        <v/>
      </c>
      <c r="B253" s="22">
        <f>'سطرهای تسهیم'!B32</f>
        <v/>
      </c>
      <c r="C253" s="22">
        <f>'واحدها'!A10</f>
        <v/>
      </c>
      <c r="D253" s="12">
        <f>'واحدها'!H10</f>
        <v/>
      </c>
      <c r="E253" s="22">
        <f>'سطرهای تسهیم'!D32</f>
        <v/>
      </c>
      <c r="F253" s="19">
        <f>'سطرهای تسهیم'!E32</f>
        <v/>
      </c>
      <c r="G253" s="12">
        <f>IF('واحدها'!F10="بله",'شمول'!G20,0)</f>
        <v/>
      </c>
      <c r="H253" s="10">
        <f>CHOOSE(MATCH(E253,'فهرست‌ها'!$A$4:$A$13,0),1,'واحدها'!E10,'واحدها'!D10*100,'واحدها'!J10,'واحدها'!J10,'وزن‌ها'!G20,'وزن‌ها'!G20,'واحدها'!K10,'واحدها'!L10,0)</f>
        <v/>
      </c>
      <c r="I253" s="10">
        <f>G253*H253</f>
        <v/>
      </c>
      <c r="J253" s="10">
        <f>SUMIFS($I$5:$I$265,$A$5:$A$265,A253)</f>
        <v/>
      </c>
      <c r="K253" s="20">
        <f>IF(J253=0,0,'تنظیمات'!$B$7*INT(F253*I253/(J253*'تنظیمات'!$B$7)))</f>
        <v/>
      </c>
      <c r="L253" s="10">
        <f>IF(J253=0,0,F253*I253-J253*'تنظیمات'!$B$7*INT(F253*I253/(J253*'تنظیمات'!$B$7)))</f>
        <v/>
      </c>
      <c r="M253" s="10">
        <f>1+COUNTIFS($A$5:$A$265,A253,$L$5:$L$265,"&gt;"&amp;L253)+COUNTIFS($A$5:$A$265,A253,$L$5:$L$265,L253,$D$5:$D$265,"&lt;"&amp;D253)</f>
        <v/>
      </c>
      <c r="N253" s="20">
        <f>IF(J253=0,0,F253-SUMIFS($K$5:$K$265,$A$5:$A$265,A253))</f>
        <v/>
      </c>
      <c r="O253" s="10">
        <f>INT(N253/'تنظیمات'!$B$7)</f>
        <v/>
      </c>
      <c r="P253" s="10">
        <f>N253-O253*'تنظیمات'!$B$7</f>
        <v/>
      </c>
      <c r="Q253" s="20">
        <f>IF(J253=0,0,K253+IF(M253&lt;=O253,'تنظیمات'!$B$7,0)+IF(M253=1,P253,0))</f>
        <v/>
      </c>
      <c r="R253" s="22">
        <f>'سطرهای تسهیم'!F32</f>
        <v/>
      </c>
      <c r="S253" s="22">
        <f>'سطرهای تسهیم'!G32</f>
        <v/>
      </c>
      <c r="T253" s="4">
        <f>IFERROR(INDEX('دسته‌ها'!$D$5:$D$25,MATCH(S253,'دسته‌ها'!$A$5:$A$25,0)),"خیر")</f>
        <v/>
      </c>
    </row>
    <row r="254">
      <c r="A254" s="22">
        <f>'سطرهای تسهیم'!A32</f>
        <v/>
      </c>
      <c r="B254" s="22">
        <f>'سطرهای تسهیم'!B32</f>
        <v/>
      </c>
      <c r="C254" s="22">
        <f>'واحدها'!A11</f>
        <v/>
      </c>
      <c r="D254" s="12">
        <f>'واحدها'!H11</f>
        <v/>
      </c>
      <c r="E254" s="22">
        <f>'سطرهای تسهیم'!D32</f>
        <v/>
      </c>
      <c r="F254" s="19">
        <f>'سطرهای تسهیم'!E32</f>
        <v/>
      </c>
      <c r="G254" s="12">
        <f>IF('واحدها'!F11="بله",'شمول'!H20,0)</f>
        <v/>
      </c>
      <c r="H254" s="10">
        <f>CHOOSE(MATCH(E254,'فهرست‌ها'!$A$4:$A$13,0),1,'واحدها'!E11,'واحدها'!D11*100,'واحدها'!J11,'واحدها'!J11,'وزن‌ها'!H20,'وزن‌ها'!H20,'واحدها'!K11,'واحدها'!L11,0)</f>
        <v/>
      </c>
      <c r="I254" s="10">
        <f>G254*H254</f>
        <v/>
      </c>
      <c r="J254" s="10">
        <f>SUMIFS($I$5:$I$265,$A$5:$A$265,A254)</f>
        <v/>
      </c>
      <c r="K254" s="20">
        <f>IF(J254=0,0,'تنظیمات'!$B$7*INT(F254*I254/(J254*'تنظیمات'!$B$7)))</f>
        <v/>
      </c>
      <c r="L254" s="10">
        <f>IF(J254=0,0,F254*I254-J254*'تنظیمات'!$B$7*INT(F254*I254/(J254*'تنظیمات'!$B$7)))</f>
        <v/>
      </c>
      <c r="M254" s="10">
        <f>1+COUNTIFS($A$5:$A$265,A254,$L$5:$L$265,"&gt;"&amp;L254)+COUNTIFS($A$5:$A$265,A254,$L$5:$L$265,L254,$D$5:$D$265,"&lt;"&amp;D254)</f>
        <v/>
      </c>
      <c r="N254" s="20">
        <f>IF(J254=0,0,F254-SUMIFS($K$5:$K$265,$A$5:$A$265,A254))</f>
        <v/>
      </c>
      <c r="O254" s="10">
        <f>INT(N254/'تنظیمات'!$B$7)</f>
        <v/>
      </c>
      <c r="P254" s="10">
        <f>N254-O254*'تنظیمات'!$B$7</f>
        <v/>
      </c>
      <c r="Q254" s="20">
        <f>IF(J254=0,0,K254+IF(M254&lt;=O254,'تنظیمات'!$B$7,0)+IF(M254=1,P254,0))</f>
        <v/>
      </c>
      <c r="R254" s="22">
        <f>'سطرهای تسهیم'!F32</f>
        <v/>
      </c>
      <c r="S254" s="22">
        <f>'سطرهای تسهیم'!G32</f>
        <v/>
      </c>
      <c r="T254" s="4">
        <f>IFERROR(INDEX('دسته‌ها'!$D$5:$D$25,MATCH(S254,'دسته‌ها'!$A$5:$A$25,0)),"خیر")</f>
        <v/>
      </c>
    </row>
    <row r="255">
      <c r="A255" s="22">
        <f>'سطرهای تسهیم'!A32</f>
        <v/>
      </c>
      <c r="B255" s="22">
        <f>'سطرهای تسهیم'!B32</f>
        <v/>
      </c>
      <c r="C255" s="22">
        <f>'واحدها'!A12</f>
        <v/>
      </c>
      <c r="D255" s="12">
        <f>'واحدها'!H12</f>
        <v/>
      </c>
      <c r="E255" s="22">
        <f>'سطرهای تسهیم'!D32</f>
        <v/>
      </c>
      <c r="F255" s="19">
        <f>'سطرهای تسهیم'!E32</f>
        <v/>
      </c>
      <c r="G255" s="12">
        <f>IF('واحدها'!F12="بله",'شمول'!I20,0)</f>
        <v/>
      </c>
      <c r="H255" s="10">
        <f>CHOOSE(MATCH(E255,'فهرست‌ها'!$A$4:$A$13,0),1,'واحدها'!E12,'واحدها'!D12*100,'واحدها'!J12,'واحدها'!J12,'وزن‌ها'!I20,'وزن‌ها'!I20,'واحدها'!K12,'واحدها'!L12,0)</f>
        <v/>
      </c>
      <c r="I255" s="10">
        <f>G255*H255</f>
        <v/>
      </c>
      <c r="J255" s="10">
        <f>SUMIFS($I$5:$I$265,$A$5:$A$265,A255)</f>
        <v/>
      </c>
      <c r="K255" s="20">
        <f>IF(J255=0,0,'تنظیمات'!$B$7*INT(F255*I255/(J255*'تنظیمات'!$B$7)))</f>
        <v/>
      </c>
      <c r="L255" s="10">
        <f>IF(J255=0,0,F255*I255-J255*'تنظیمات'!$B$7*INT(F255*I255/(J255*'تنظیمات'!$B$7)))</f>
        <v/>
      </c>
      <c r="M255" s="10">
        <f>1+COUNTIFS($A$5:$A$265,A255,$L$5:$L$265,"&gt;"&amp;L255)+COUNTIFS($A$5:$A$265,A255,$L$5:$L$265,L255,$D$5:$D$265,"&lt;"&amp;D255)</f>
        <v/>
      </c>
      <c r="N255" s="20">
        <f>IF(J255=0,0,F255-SUMIFS($K$5:$K$265,$A$5:$A$265,A255))</f>
        <v/>
      </c>
      <c r="O255" s="10">
        <f>INT(N255/'تنظیمات'!$B$7)</f>
        <v/>
      </c>
      <c r="P255" s="10">
        <f>N255-O255*'تنظیمات'!$B$7</f>
        <v/>
      </c>
      <c r="Q255" s="20">
        <f>IF(J255=0,0,K255+IF(M255&lt;=O255,'تنظیمات'!$B$7,0)+IF(M255=1,P255,0))</f>
        <v/>
      </c>
      <c r="R255" s="22">
        <f>'سطرهای تسهیم'!F32</f>
        <v/>
      </c>
      <c r="S255" s="22">
        <f>'سطرهای تسهیم'!G32</f>
        <v/>
      </c>
      <c r="T255" s="4">
        <f>IFERROR(INDEX('دسته‌ها'!$D$5:$D$25,MATCH(S255,'دسته‌ها'!$A$5:$A$25,0)),"خیر")</f>
        <v/>
      </c>
    </row>
    <row r="256">
      <c r="A256" s="22">
        <f>'سطرهای تسهیم'!A32</f>
        <v/>
      </c>
      <c r="B256" s="22">
        <f>'سطرهای تسهیم'!B32</f>
        <v/>
      </c>
      <c r="C256" s="22">
        <f>'واحدها'!A13</f>
        <v/>
      </c>
      <c r="D256" s="12">
        <f>'واحدها'!H13</f>
        <v/>
      </c>
      <c r="E256" s="22">
        <f>'سطرهای تسهیم'!D32</f>
        <v/>
      </c>
      <c r="F256" s="19">
        <f>'سطرهای تسهیم'!E32</f>
        <v/>
      </c>
      <c r="G256" s="12">
        <f>IF('واحدها'!F13="بله",'شمول'!J20,0)</f>
        <v/>
      </c>
      <c r="H256" s="10">
        <f>CHOOSE(MATCH(E256,'فهرست‌ها'!$A$4:$A$13,0),1,'واحدها'!E13,'واحدها'!D13*100,'واحدها'!J13,'واحدها'!J13,'وزن‌ها'!J20,'وزن‌ها'!J20,'واحدها'!K13,'واحدها'!L13,0)</f>
        <v/>
      </c>
      <c r="I256" s="10">
        <f>G256*H256</f>
        <v/>
      </c>
      <c r="J256" s="10">
        <f>SUMIFS($I$5:$I$265,$A$5:$A$265,A256)</f>
        <v/>
      </c>
      <c r="K256" s="20">
        <f>IF(J256=0,0,'تنظیمات'!$B$7*INT(F256*I256/(J256*'تنظیمات'!$B$7)))</f>
        <v/>
      </c>
      <c r="L256" s="10">
        <f>IF(J256=0,0,F256*I256-J256*'تنظیمات'!$B$7*INT(F256*I256/(J256*'تنظیمات'!$B$7)))</f>
        <v/>
      </c>
      <c r="M256" s="10">
        <f>1+COUNTIFS($A$5:$A$265,A256,$L$5:$L$265,"&gt;"&amp;L256)+COUNTIFS($A$5:$A$265,A256,$L$5:$L$265,L256,$D$5:$D$265,"&lt;"&amp;D256)</f>
        <v/>
      </c>
      <c r="N256" s="20">
        <f>IF(J256=0,0,F256-SUMIFS($K$5:$K$265,$A$5:$A$265,A256))</f>
        <v/>
      </c>
      <c r="O256" s="10">
        <f>INT(N256/'تنظیمات'!$B$7)</f>
        <v/>
      </c>
      <c r="P256" s="10">
        <f>N256-O256*'تنظیمات'!$B$7</f>
        <v/>
      </c>
      <c r="Q256" s="20">
        <f>IF(J256=0,0,K256+IF(M256&lt;=O256,'تنظیمات'!$B$7,0)+IF(M256=1,P256,0))</f>
        <v/>
      </c>
      <c r="R256" s="22">
        <f>'سطرهای تسهیم'!F32</f>
        <v/>
      </c>
      <c r="S256" s="22">
        <f>'سطرهای تسهیم'!G32</f>
        <v/>
      </c>
      <c r="T256" s="4">
        <f>IFERROR(INDEX('دسته‌ها'!$D$5:$D$25,MATCH(S256,'دسته‌ها'!$A$5:$A$25,0)),"خیر")</f>
        <v/>
      </c>
    </row>
    <row r="257">
      <c r="A257" s="22">
        <f>'سطرهای تسهیم'!A33</f>
        <v/>
      </c>
      <c r="B257" s="22">
        <f>'سطرهای تسهیم'!B33</f>
        <v/>
      </c>
      <c r="C257" s="22">
        <f>'واحدها'!A5</f>
        <v/>
      </c>
      <c r="D257" s="12">
        <f>'واحدها'!H5</f>
        <v/>
      </c>
      <c r="E257" s="22">
        <f>'سطرهای تسهیم'!D33</f>
        <v/>
      </c>
      <c r="F257" s="19">
        <f>'سطرهای تسهیم'!E33</f>
        <v/>
      </c>
      <c r="G257" s="12">
        <f>IF('واحدها'!F5="بله",'شمول'!B21,0)</f>
        <v/>
      </c>
      <c r="H257" s="10">
        <f>CHOOSE(MATCH(E257,'فهرست‌ها'!$A$4:$A$13,0),1,'واحدها'!E5,'واحدها'!D5*100,'واحدها'!J5,'واحدها'!J5,'وزن‌ها'!B21,'وزن‌ها'!B21,'واحدها'!K5,'واحدها'!L5,0)</f>
        <v/>
      </c>
      <c r="I257" s="10">
        <f>G257*H257</f>
        <v/>
      </c>
      <c r="J257" s="10">
        <f>SUMIFS($I$5:$I$265,$A$5:$A$265,A257)</f>
        <v/>
      </c>
      <c r="K257" s="20">
        <f>IF(J257=0,0,'تنظیمات'!$B$7*INT(F257*I257/(J257*'تنظیمات'!$B$7)))</f>
        <v/>
      </c>
      <c r="L257" s="10">
        <f>IF(J257=0,0,F257*I257-J257*'تنظیمات'!$B$7*INT(F257*I257/(J257*'تنظیمات'!$B$7)))</f>
        <v/>
      </c>
      <c r="M257" s="10">
        <f>1+COUNTIFS($A$5:$A$265,A257,$L$5:$L$265,"&gt;"&amp;L257)+COUNTIFS($A$5:$A$265,A257,$L$5:$L$265,L257,$D$5:$D$265,"&lt;"&amp;D257)</f>
        <v/>
      </c>
      <c r="N257" s="20">
        <f>IF(J257=0,0,F257-SUMIFS($K$5:$K$265,$A$5:$A$265,A257))</f>
        <v/>
      </c>
      <c r="O257" s="10">
        <f>INT(N257/'تنظیمات'!$B$7)</f>
        <v/>
      </c>
      <c r="P257" s="10">
        <f>N257-O257*'تنظیمات'!$B$7</f>
        <v/>
      </c>
      <c r="Q257" s="20">
        <f>IF(J257=0,0,K257+IF(M257&lt;=O257,'تنظیمات'!$B$7,0)+IF(M257=1,P257,0))</f>
        <v/>
      </c>
      <c r="R257" s="22">
        <f>'سطرهای تسهیم'!F33</f>
        <v/>
      </c>
      <c r="S257" s="22">
        <f>'سطرهای تسهیم'!G33</f>
        <v/>
      </c>
      <c r="T257" s="4">
        <f>IFERROR(INDEX('دسته‌ها'!$D$5:$D$25,MATCH(S257,'دسته‌ها'!$A$5:$A$25,0)),"خیر")</f>
        <v/>
      </c>
    </row>
    <row r="258">
      <c r="A258" s="22">
        <f>'سطرهای تسهیم'!A33</f>
        <v/>
      </c>
      <c r="B258" s="22">
        <f>'سطرهای تسهیم'!B33</f>
        <v/>
      </c>
      <c r="C258" s="22">
        <f>'واحدها'!A6</f>
        <v/>
      </c>
      <c r="D258" s="12">
        <f>'واحدها'!H6</f>
        <v/>
      </c>
      <c r="E258" s="22">
        <f>'سطرهای تسهیم'!D33</f>
        <v/>
      </c>
      <c r="F258" s="19">
        <f>'سطرهای تسهیم'!E33</f>
        <v/>
      </c>
      <c r="G258" s="12">
        <f>IF('واحدها'!F6="بله",'شمول'!C21,0)</f>
        <v/>
      </c>
      <c r="H258" s="10">
        <f>CHOOSE(MATCH(E258,'فهرست‌ها'!$A$4:$A$13,0),1,'واحدها'!E6,'واحدها'!D6*100,'واحدها'!J6,'واحدها'!J6,'وزن‌ها'!C21,'وزن‌ها'!C21,'واحدها'!K6,'واحدها'!L6,0)</f>
        <v/>
      </c>
      <c r="I258" s="10">
        <f>G258*H258</f>
        <v/>
      </c>
      <c r="J258" s="10">
        <f>SUMIFS($I$5:$I$265,$A$5:$A$265,A258)</f>
        <v/>
      </c>
      <c r="K258" s="20">
        <f>IF(J258=0,0,'تنظیمات'!$B$7*INT(F258*I258/(J258*'تنظیمات'!$B$7)))</f>
        <v/>
      </c>
      <c r="L258" s="10">
        <f>IF(J258=0,0,F258*I258-J258*'تنظیمات'!$B$7*INT(F258*I258/(J258*'تنظیمات'!$B$7)))</f>
        <v/>
      </c>
      <c r="M258" s="10">
        <f>1+COUNTIFS($A$5:$A$265,A258,$L$5:$L$265,"&gt;"&amp;L258)+COUNTIFS($A$5:$A$265,A258,$L$5:$L$265,L258,$D$5:$D$265,"&lt;"&amp;D258)</f>
        <v/>
      </c>
      <c r="N258" s="20">
        <f>IF(J258=0,0,F258-SUMIFS($K$5:$K$265,$A$5:$A$265,A258))</f>
        <v/>
      </c>
      <c r="O258" s="10">
        <f>INT(N258/'تنظیمات'!$B$7)</f>
        <v/>
      </c>
      <c r="P258" s="10">
        <f>N258-O258*'تنظیمات'!$B$7</f>
        <v/>
      </c>
      <c r="Q258" s="20">
        <f>IF(J258=0,0,K258+IF(M258&lt;=O258,'تنظیمات'!$B$7,0)+IF(M258=1,P258,0))</f>
        <v/>
      </c>
      <c r="R258" s="22">
        <f>'سطرهای تسهیم'!F33</f>
        <v/>
      </c>
      <c r="S258" s="22">
        <f>'سطرهای تسهیم'!G33</f>
        <v/>
      </c>
      <c r="T258" s="4">
        <f>IFERROR(INDEX('دسته‌ها'!$D$5:$D$25,MATCH(S258,'دسته‌ها'!$A$5:$A$25,0)),"خیر")</f>
        <v/>
      </c>
    </row>
    <row r="259">
      <c r="A259" s="22">
        <f>'سطرهای تسهیم'!A33</f>
        <v/>
      </c>
      <c r="B259" s="22">
        <f>'سطرهای تسهیم'!B33</f>
        <v/>
      </c>
      <c r="C259" s="22">
        <f>'واحدها'!A7</f>
        <v/>
      </c>
      <c r="D259" s="12">
        <f>'واحدها'!H7</f>
        <v/>
      </c>
      <c r="E259" s="22">
        <f>'سطرهای تسهیم'!D33</f>
        <v/>
      </c>
      <c r="F259" s="19">
        <f>'سطرهای تسهیم'!E33</f>
        <v/>
      </c>
      <c r="G259" s="12">
        <f>IF('واحدها'!F7="بله",'شمول'!D21,0)</f>
        <v/>
      </c>
      <c r="H259" s="10">
        <f>CHOOSE(MATCH(E259,'فهرست‌ها'!$A$4:$A$13,0),1,'واحدها'!E7,'واحدها'!D7*100,'واحدها'!J7,'واحدها'!J7,'وزن‌ها'!D21,'وزن‌ها'!D21,'واحدها'!K7,'واحدها'!L7,0)</f>
        <v/>
      </c>
      <c r="I259" s="10">
        <f>G259*H259</f>
        <v/>
      </c>
      <c r="J259" s="10">
        <f>SUMIFS($I$5:$I$265,$A$5:$A$265,A259)</f>
        <v/>
      </c>
      <c r="K259" s="20">
        <f>IF(J259=0,0,'تنظیمات'!$B$7*INT(F259*I259/(J259*'تنظیمات'!$B$7)))</f>
        <v/>
      </c>
      <c r="L259" s="10">
        <f>IF(J259=0,0,F259*I259-J259*'تنظیمات'!$B$7*INT(F259*I259/(J259*'تنظیمات'!$B$7)))</f>
        <v/>
      </c>
      <c r="M259" s="10">
        <f>1+COUNTIFS($A$5:$A$265,A259,$L$5:$L$265,"&gt;"&amp;L259)+COUNTIFS($A$5:$A$265,A259,$L$5:$L$265,L259,$D$5:$D$265,"&lt;"&amp;D259)</f>
        <v/>
      </c>
      <c r="N259" s="20">
        <f>IF(J259=0,0,F259-SUMIFS($K$5:$K$265,$A$5:$A$265,A259))</f>
        <v/>
      </c>
      <c r="O259" s="10">
        <f>INT(N259/'تنظیمات'!$B$7)</f>
        <v/>
      </c>
      <c r="P259" s="10">
        <f>N259-O259*'تنظیمات'!$B$7</f>
        <v/>
      </c>
      <c r="Q259" s="20">
        <f>IF(J259=0,0,K259+IF(M259&lt;=O259,'تنظیمات'!$B$7,0)+IF(M259=1,P259,0))</f>
        <v/>
      </c>
      <c r="R259" s="22">
        <f>'سطرهای تسهیم'!F33</f>
        <v/>
      </c>
      <c r="S259" s="22">
        <f>'سطرهای تسهیم'!G33</f>
        <v/>
      </c>
      <c r="T259" s="4">
        <f>IFERROR(INDEX('دسته‌ها'!$D$5:$D$25,MATCH(S259,'دسته‌ها'!$A$5:$A$25,0)),"خیر")</f>
        <v/>
      </c>
    </row>
    <row r="260">
      <c r="A260" s="22">
        <f>'سطرهای تسهیم'!A33</f>
        <v/>
      </c>
      <c r="B260" s="22">
        <f>'سطرهای تسهیم'!B33</f>
        <v/>
      </c>
      <c r="C260" s="22">
        <f>'واحدها'!A8</f>
        <v/>
      </c>
      <c r="D260" s="12">
        <f>'واحدها'!H8</f>
        <v/>
      </c>
      <c r="E260" s="22">
        <f>'سطرهای تسهیم'!D33</f>
        <v/>
      </c>
      <c r="F260" s="19">
        <f>'سطرهای تسهیم'!E33</f>
        <v/>
      </c>
      <c r="G260" s="12">
        <f>IF('واحدها'!F8="بله",'شمول'!E21,0)</f>
        <v/>
      </c>
      <c r="H260" s="10">
        <f>CHOOSE(MATCH(E260,'فهرست‌ها'!$A$4:$A$13,0),1,'واحدها'!E8,'واحدها'!D8*100,'واحدها'!J8,'واحدها'!J8,'وزن‌ها'!E21,'وزن‌ها'!E21,'واحدها'!K8,'واحدها'!L8,0)</f>
        <v/>
      </c>
      <c r="I260" s="10">
        <f>G260*H260</f>
        <v/>
      </c>
      <c r="J260" s="10">
        <f>SUMIFS($I$5:$I$265,$A$5:$A$265,A260)</f>
        <v/>
      </c>
      <c r="K260" s="20">
        <f>IF(J260=0,0,'تنظیمات'!$B$7*INT(F260*I260/(J260*'تنظیمات'!$B$7)))</f>
        <v/>
      </c>
      <c r="L260" s="10">
        <f>IF(J260=0,0,F260*I260-J260*'تنظیمات'!$B$7*INT(F260*I260/(J260*'تنظیمات'!$B$7)))</f>
        <v/>
      </c>
      <c r="M260" s="10">
        <f>1+COUNTIFS($A$5:$A$265,A260,$L$5:$L$265,"&gt;"&amp;L260)+COUNTIFS($A$5:$A$265,A260,$L$5:$L$265,L260,$D$5:$D$265,"&lt;"&amp;D260)</f>
        <v/>
      </c>
      <c r="N260" s="20">
        <f>IF(J260=0,0,F260-SUMIFS($K$5:$K$265,$A$5:$A$265,A260))</f>
        <v/>
      </c>
      <c r="O260" s="10">
        <f>INT(N260/'تنظیمات'!$B$7)</f>
        <v/>
      </c>
      <c r="P260" s="10">
        <f>N260-O260*'تنظیمات'!$B$7</f>
        <v/>
      </c>
      <c r="Q260" s="20">
        <f>IF(J260=0,0,K260+IF(M260&lt;=O260,'تنظیمات'!$B$7,0)+IF(M260=1,P260,0))</f>
        <v/>
      </c>
      <c r="R260" s="22">
        <f>'سطرهای تسهیم'!F33</f>
        <v/>
      </c>
      <c r="S260" s="22">
        <f>'سطرهای تسهیم'!G33</f>
        <v/>
      </c>
      <c r="T260" s="4">
        <f>IFERROR(INDEX('دسته‌ها'!$D$5:$D$25,MATCH(S260,'دسته‌ها'!$A$5:$A$25,0)),"خیر")</f>
        <v/>
      </c>
    </row>
    <row r="261">
      <c r="A261" s="22">
        <f>'سطرهای تسهیم'!A33</f>
        <v/>
      </c>
      <c r="B261" s="22">
        <f>'سطرهای تسهیم'!B33</f>
        <v/>
      </c>
      <c r="C261" s="22">
        <f>'واحدها'!A9</f>
        <v/>
      </c>
      <c r="D261" s="12">
        <f>'واحدها'!H9</f>
        <v/>
      </c>
      <c r="E261" s="22">
        <f>'سطرهای تسهیم'!D33</f>
        <v/>
      </c>
      <c r="F261" s="19">
        <f>'سطرهای تسهیم'!E33</f>
        <v/>
      </c>
      <c r="G261" s="12">
        <f>IF('واحدها'!F9="بله",'شمول'!F21,0)</f>
        <v/>
      </c>
      <c r="H261" s="10">
        <f>CHOOSE(MATCH(E261,'فهرست‌ها'!$A$4:$A$13,0),1,'واحدها'!E9,'واحدها'!D9*100,'واحدها'!J9,'واحدها'!J9,'وزن‌ها'!F21,'وزن‌ها'!F21,'واحدها'!K9,'واحدها'!L9,0)</f>
        <v/>
      </c>
      <c r="I261" s="10">
        <f>G261*H261</f>
        <v/>
      </c>
      <c r="J261" s="10">
        <f>SUMIFS($I$5:$I$265,$A$5:$A$265,A261)</f>
        <v/>
      </c>
      <c r="K261" s="20">
        <f>IF(J261=0,0,'تنظیمات'!$B$7*INT(F261*I261/(J261*'تنظیمات'!$B$7)))</f>
        <v/>
      </c>
      <c r="L261" s="10">
        <f>IF(J261=0,0,F261*I261-J261*'تنظیمات'!$B$7*INT(F261*I261/(J261*'تنظیمات'!$B$7)))</f>
        <v/>
      </c>
      <c r="M261" s="10">
        <f>1+COUNTIFS($A$5:$A$265,A261,$L$5:$L$265,"&gt;"&amp;L261)+COUNTIFS($A$5:$A$265,A261,$L$5:$L$265,L261,$D$5:$D$265,"&lt;"&amp;D261)</f>
        <v/>
      </c>
      <c r="N261" s="20">
        <f>IF(J261=0,0,F261-SUMIFS($K$5:$K$265,$A$5:$A$265,A261))</f>
        <v/>
      </c>
      <c r="O261" s="10">
        <f>INT(N261/'تنظیمات'!$B$7)</f>
        <v/>
      </c>
      <c r="P261" s="10">
        <f>N261-O261*'تنظیمات'!$B$7</f>
        <v/>
      </c>
      <c r="Q261" s="20">
        <f>IF(J261=0,0,K261+IF(M261&lt;=O261,'تنظیمات'!$B$7,0)+IF(M261=1,P261,0))</f>
        <v/>
      </c>
      <c r="R261" s="22">
        <f>'سطرهای تسهیم'!F33</f>
        <v/>
      </c>
      <c r="S261" s="22">
        <f>'سطرهای تسهیم'!G33</f>
        <v/>
      </c>
      <c r="T261" s="4">
        <f>IFERROR(INDEX('دسته‌ها'!$D$5:$D$25,MATCH(S261,'دسته‌ها'!$A$5:$A$25,0)),"خیر")</f>
        <v/>
      </c>
    </row>
    <row r="262">
      <c r="A262" s="22">
        <f>'سطرهای تسهیم'!A33</f>
        <v/>
      </c>
      <c r="B262" s="22">
        <f>'سطرهای تسهیم'!B33</f>
        <v/>
      </c>
      <c r="C262" s="22">
        <f>'واحدها'!A10</f>
        <v/>
      </c>
      <c r="D262" s="12">
        <f>'واحدها'!H10</f>
        <v/>
      </c>
      <c r="E262" s="22">
        <f>'سطرهای تسهیم'!D33</f>
        <v/>
      </c>
      <c r="F262" s="19">
        <f>'سطرهای تسهیم'!E33</f>
        <v/>
      </c>
      <c r="G262" s="12">
        <f>IF('واحدها'!F10="بله",'شمول'!G21,0)</f>
        <v/>
      </c>
      <c r="H262" s="10">
        <f>CHOOSE(MATCH(E262,'فهرست‌ها'!$A$4:$A$13,0),1,'واحدها'!E10,'واحدها'!D10*100,'واحدها'!J10,'واحدها'!J10,'وزن‌ها'!G21,'وزن‌ها'!G21,'واحدها'!K10,'واحدها'!L10,0)</f>
        <v/>
      </c>
      <c r="I262" s="10">
        <f>G262*H262</f>
        <v/>
      </c>
      <c r="J262" s="10">
        <f>SUMIFS($I$5:$I$265,$A$5:$A$265,A262)</f>
        <v/>
      </c>
      <c r="K262" s="20">
        <f>IF(J262=0,0,'تنظیمات'!$B$7*INT(F262*I262/(J262*'تنظیمات'!$B$7)))</f>
        <v/>
      </c>
      <c r="L262" s="10">
        <f>IF(J262=0,0,F262*I262-J262*'تنظیمات'!$B$7*INT(F262*I262/(J262*'تنظیمات'!$B$7)))</f>
        <v/>
      </c>
      <c r="M262" s="10">
        <f>1+COUNTIFS($A$5:$A$265,A262,$L$5:$L$265,"&gt;"&amp;L262)+COUNTIFS($A$5:$A$265,A262,$L$5:$L$265,L262,$D$5:$D$265,"&lt;"&amp;D262)</f>
        <v/>
      </c>
      <c r="N262" s="20">
        <f>IF(J262=0,0,F262-SUMIFS($K$5:$K$265,$A$5:$A$265,A262))</f>
        <v/>
      </c>
      <c r="O262" s="10">
        <f>INT(N262/'تنظیمات'!$B$7)</f>
        <v/>
      </c>
      <c r="P262" s="10">
        <f>N262-O262*'تنظیمات'!$B$7</f>
        <v/>
      </c>
      <c r="Q262" s="20">
        <f>IF(J262=0,0,K262+IF(M262&lt;=O262,'تنظیمات'!$B$7,0)+IF(M262=1,P262,0))</f>
        <v/>
      </c>
      <c r="R262" s="22">
        <f>'سطرهای تسهیم'!F33</f>
        <v/>
      </c>
      <c r="S262" s="22">
        <f>'سطرهای تسهیم'!G33</f>
        <v/>
      </c>
      <c r="T262" s="4">
        <f>IFERROR(INDEX('دسته‌ها'!$D$5:$D$25,MATCH(S262,'دسته‌ها'!$A$5:$A$25,0)),"خیر")</f>
        <v/>
      </c>
    </row>
    <row r="263">
      <c r="A263" s="22">
        <f>'سطرهای تسهیم'!A33</f>
        <v/>
      </c>
      <c r="B263" s="22">
        <f>'سطرهای تسهیم'!B33</f>
        <v/>
      </c>
      <c r="C263" s="22">
        <f>'واحدها'!A11</f>
        <v/>
      </c>
      <c r="D263" s="12">
        <f>'واحدها'!H11</f>
        <v/>
      </c>
      <c r="E263" s="22">
        <f>'سطرهای تسهیم'!D33</f>
        <v/>
      </c>
      <c r="F263" s="19">
        <f>'سطرهای تسهیم'!E33</f>
        <v/>
      </c>
      <c r="G263" s="12">
        <f>IF('واحدها'!F11="بله",'شمول'!H21,0)</f>
        <v/>
      </c>
      <c r="H263" s="10">
        <f>CHOOSE(MATCH(E263,'فهرست‌ها'!$A$4:$A$13,0),1,'واحدها'!E11,'واحدها'!D11*100,'واحدها'!J11,'واحدها'!J11,'وزن‌ها'!H21,'وزن‌ها'!H21,'واحدها'!K11,'واحدها'!L11,0)</f>
        <v/>
      </c>
      <c r="I263" s="10">
        <f>G263*H263</f>
        <v/>
      </c>
      <c r="J263" s="10">
        <f>SUMIFS($I$5:$I$265,$A$5:$A$265,A263)</f>
        <v/>
      </c>
      <c r="K263" s="20">
        <f>IF(J263=0,0,'تنظیمات'!$B$7*INT(F263*I263/(J263*'تنظیمات'!$B$7)))</f>
        <v/>
      </c>
      <c r="L263" s="10">
        <f>IF(J263=0,0,F263*I263-J263*'تنظیمات'!$B$7*INT(F263*I263/(J263*'تنظیمات'!$B$7)))</f>
        <v/>
      </c>
      <c r="M263" s="10">
        <f>1+COUNTIFS($A$5:$A$265,A263,$L$5:$L$265,"&gt;"&amp;L263)+COUNTIFS($A$5:$A$265,A263,$L$5:$L$265,L263,$D$5:$D$265,"&lt;"&amp;D263)</f>
        <v/>
      </c>
      <c r="N263" s="20">
        <f>IF(J263=0,0,F263-SUMIFS($K$5:$K$265,$A$5:$A$265,A263))</f>
        <v/>
      </c>
      <c r="O263" s="10">
        <f>INT(N263/'تنظیمات'!$B$7)</f>
        <v/>
      </c>
      <c r="P263" s="10">
        <f>N263-O263*'تنظیمات'!$B$7</f>
        <v/>
      </c>
      <c r="Q263" s="20">
        <f>IF(J263=0,0,K263+IF(M263&lt;=O263,'تنظیمات'!$B$7,0)+IF(M263=1,P263,0))</f>
        <v/>
      </c>
      <c r="R263" s="22">
        <f>'سطرهای تسهیم'!F33</f>
        <v/>
      </c>
      <c r="S263" s="22">
        <f>'سطرهای تسهیم'!G33</f>
        <v/>
      </c>
      <c r="T263" s="4">
        <f>IFERROR(INDEX('دسته‌ها'!$D$5:$D$25,MATCH(S263,'دسته‌ها'!$A$5:$A$25,0)),"خیر")</f>
        <v/>
      </c>
    </row>
    <row r="264">
      <c r="A264" s="22">
        <f>'سطرهای تسهیم'!A33</f>
        <v/>
      </c>
      <c r="B264" s="22">
        <f>'سطرهای تسهیم'!B33</f>
        <v/>
      </c>
      <c r="C264" s="22">
        <f>'واحدها'!A12</f>
        <v/>
      </c>
      <c r="D264" s="12">
        <f>'واحدها'!H12</f>
        <v/>
      </c>
      <c r="E264" s="22">
        <f>'سطرهای تسهیم'!D33</f>
        <v/>
      </c>
      <c r="F264" s="19">
        <f>'سطرهای تسهیم'!E33</f>
        <v/>
      </c>
      <c r="G264" s="12">
        <f>IF('واحدها'!F12="بله",'شمول'!I21,0)</f>
        <v/>
      </c>
      <c r="H264" s="10">
        <f>CHOOSE(MATCH(E264,'فهرست‌ها'!$A$4:$A$13,0),1,'واحدها'!E12,'واحدها'!D12*100,'واحدها'!J12,'واحدها'!J12,'وزن‌ها'!I21,'وزن‌ها'!I21,'واحدها'!K12,'واحدها'!L12,0)</f>
        <v/>
      </c>
      <c r="I264" s="10">
        <f>G264*H264</f>
        <v/>
      </c>
      <c r="J264" s="10">
        <f>SUMIFS($I$5:$I$265,$A$5:$A$265,A264)</f>
        <v/>
      </c>
      <c r="K264" s="20">
        <f>IF(J264=0,0,'تنظیمات'!$B$7*INT(F264*I264/(J264*'تنظیمات'!$B$7)))</f>
        <v/>
      </c>
      <c r="L264" s="10">
        <f>IF(J264=0,0,F264*I264-J264*'تنظیمات'!$B$7*INT(F264*I264/(J264*'تنظیمات'!$B$7)))</f>
        <v/>
      </c>
      <c r="M264" s="10">
        <f>1+COUNTIFS($A$5:$A$265,A264,$L$5:$L$265,"&gt;"&amp;L264)+COUNTIFS($A$5:$A$265,A264,$L$5:$L$265,L264,$D$5:$D$265,"&lt;"&amp;D264)</f>
        <v/>
      </c>
      <c r="N264" s="20">
        <f>IF(J264=0,0,F264-SUMIFS($K$5:$K$265,$A$5:$A$265,A264))</f>
        <v/>
      </c>
      <c r="O264" s="10">
        <f>INT(N264/'تنظیمات'!$B$7)</f>
        <v/>
      </c>
      <c r="P264" s="10">
        <f>N264-O264*'تنظیمات'!$B$7</f>
        <v/>
      </c>
      <c r="Q264" s="20">
        <f>IF(J264=0,0,K264+IF(M264&lt;=O264,'تنظیمات'!$B$7,0)+IF(M264=1,P264,0))</f>
        <v/>
      </c>
      <c r="R264" s="22">
        <f>'سطرهای تسهیم'!F33</f>
        <v/>
      </c>
      <c r="S264" s="22">
        <f>'سطرهای تسهیم'!G33</f>
        <v/>
      </c>
      <c r="T264" s="4">
        <f>IFERROR(INDEX('دسته‌ها'!$D$5:$D$25,MATCH(S264,'دسته‌ها'!$A$5:$A$25,0)),"خیر")</f>
        <v/>
      </c>
    </row>
    <row r="265">
      <c r="A265" s="22">
        <f>'سطرهای تسهیم'!A33</f>
        <v/>
      </c>
      <c r="B265" s="22">
        <f>'سطرهای تسهیم'!B33</f>
        <v/>
      </c>
      <c r="C265" s="22">
        <f>'واحدها'!A13</f>
        <v/>
      </c>
      <c r="D265" s="12">
        <f>'واحدها'!H13</f>
        <v/>
      </c>
      <c r="E265" s="22">
        <f>'سطرهای تسهیم'!D33</f>
        <v/>
      </c>
      <c r="F265" s="19">
        <f>'سطرهای تسهیم'!E33</f>
        <v/>
      </c>
      <c r="G265" s="12">
        <f>IF('واحدها'!F13="بله",'شمول'!J21,0)</f>
        <v/>
      </c>
      <c r="H265" s="10">
        <f>CHOOSE(MATCH(E265,'فهرست‌ها'!$A$4:$A$13,0),1,'واحدها'!E13,'واحدها'!D13*100,'واحدها'!J13,'واحدها'!J13,'وزن‌ها'!J21,'وزن‌ها'!J21,'واحدها'!K13,'واحدها'!L13,0)</f>
        <v/>
      </c>
      <c r="I265" s="10">
        <f>G265*H265</f>
        <v/>
      </c>
      <c r="J265" s="10">
        <f>SUMIFS($I$5:$I$265,$A$5:$A$265,A265)</f>
        <v/>
      </c>
      <c r="K265" s="20">
        <f>IF(J265=0,0,'تنظیمات'!$B$7*INT(F265*I265/(J265*'تنظیمات'!$B$7)))</f>
        <v/>
      </c>
      <c r="L265" s="10">
        <f>IF(J265=0,0,F265*I265-J265*'تنظیمات'!$B$7*INT(F265*I265/(J265*'تنظیمات'!$B$7)))</f>
        <v/>
      </c>
      <c r="M265" s="10">
        <f>1+COUNTIFS($A$5:$A$265,A265,$L$5:$L$265,"&gt;"&amp;L265)+COUNTIFS($A$5:$A$265,A265,$L$5:$L$265,L265,$D$5:$D$265,"&lt;"&amp;D265)</f>
        <v/>
      </c>
      <c r="N265" s="20">
        <f>IF(J265=0,0,F265-SUMIFS($K$5:$K$265,$A$5:$A$265,A265))</f>
        <v/>
      </c>
      <c r="O265" s="10">
        <f>INT(N265/'تنظیمات'!$B$7)</f>
        <v/>
      </c>
      <c r="P265" s="10">
        <f>N265-O265*'تنظیمات'!$B$7</f>
        <v/>
      </c>
      <c r="Q265" s="20">
        <f>IF(J265=0,0,K265+IF(M265&lt;=O265,'تنظیمات'!$B$7,0)+IF(M265=1,P265,0))</f>
        <v/>
      </c>
      <c r="R265" s="22">
        <f>'سطرهای تسهیم'!F33</f>
        <v/>
      </c>
      <c r="S265" s="22">
        <f>'سطرهای تسهیم'!G33</f>
        <v/>
      </c>
      <c r="T265" s="4">
        <f>IFERROR(INDEX('دسته‌ها'!$D$5:$D$25,MATCH(S265,'دسته‌ها'!$A$5:$A$25,0)),"خیر")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0" customWidth="1" min="14" max="14"/>
  </cols>
  <sheetData>
    <row r="1">
      <c r="A1" s="1" t="inlineStr">
        <is>
          <t>ریز شارژ هر واحد به تفکیک سطر تسهیم</t>
        </is>
      </c>
    </row>
    <row r="2">
      <c r="A2" s="8" t="inlineStr">
        <is>
          <t>جمع هر سطر باید برابر مبلغ سطر باشد (ستون «اختلاف» = ۰).</t>
        </is>
      </c>
    </row>
    <row r="4" ht="32" customHeight="1">
      <c r="A4" s="5" t="inlineStr">
        <is>
          <t>سطر</t>
        </is>
      </c>
      <c r="B4" s="5" t="inlineStr">
        <is>
          <t>شرح</t>
        </is>
      </c>
      <c r="C4" s="5" t="inlineStr">
        <is>
          <t>مبلغ سطر</t>
        </is>
      </c>
      <c r="D4" s="5" t="inlineStr">
        <is>
          <t>1-1</t>
        </is>
      </c>
      <c r="E4" s="5" t="inlineStr">
        <is>
          <t>1-2</t>
        </is>
      </c>
      <c r="F4" s="5" t="inlineStr">
        <is>
          <t>1-3</t>
        </is>
      </c>
      <c r="G4" s="5" t="inlineStr">
        <is>
          <t>2-1</t>
        </is>
      </c>
      <c r="H4" s="5" t="inlineStr">
        <is>
          <t>2-2</t>
        </is>
      </c>
      <c r="I4" s="5" t="inlineStr">
        <is>
          <t>3-1</t>
        </is>
      </c>
      <c r="J4" s="5" t="inlineStr">
        <is>
          <t>3-2</t>
        </is>
      </c>
      <c r="K4" s="5" t="inlineStr">
        <is>
          <t>4-1</t>
        </is>
      </c>
      <c r="L4" s="5" t="inlineStr">
        <is>
          <t>4-2</t>
        </is>
      </c>
      <c r="M4" s="5" t="inlineStr">
        <is>
          <t>جمع تسهیم</t>
        </is>
      </c>
      <c r="N4" s="5" t="inlineStr">
        <is>
          <t>اختلاف</t>
        </is>
      </c>
    </row>
    <row r="5">
      <c r="A5" s="22">
        <f>'سطرهای تسهیم'!A5</f>
        <v/>
      </c>
      <c r="B5" s="22">
        <f>'سطرهای تسهیم'!C5</f>
        <v/>
      </c>
      <c r="C5" s="19">
        <f>'سطرهای تسهیم'!E5</f>
        <v/>
      </c>
      <c r="D5" s="20">
        <f>SUMIFS('محاسبه تسهیم'!$Q$5:$Q$265,'محاسبه تسهیم'!$A$5:$A$265,$A5,'محاسبه تسهیم'!$C$5:$C$265,D$4)</f>
        <v/>
      </c>
      <c r="E5" s="20">
        <f>SUMIFS('محاسبه تسهیم'!$Q$5:$Q$265,'محاسبه تسهیم'!$A$5:$A$265,$A5,'محاسبه تسهیم'!$C$5:$C$265,E$4)</f>
        <v/>
      </c>
      <c r="F5" s="20">
        <f>SUMIFS('محاسبه تسهیم'!$Q$5:$Q$265,'محاسبه تسهیم'!$A$5:$A$265,$A5,'محاسبه تسهیم'!$C$5:$C$265,F$4)</f>
        <v/>
      </c>
      <c r="G5" s="20">
        <f>SUMIFS('محاسبه تسهیم'!$Q$5:$Q$265,'محاسبه تسهیم'!$A$5:$A$265,$A5,'محاسبه تسهیم'!$C$5:$C$265,G$4)</f>
        <v/>
      </c>
      <c r="H5" s="20">
        <f>SUMIFS('محاسبه تسهیم'!$Q$5:$Q$265,'محاسبه تسهیم'!$A$5:$A$265,$A5,'محاسبه تسهیم'!$C$5:$C$265,H$4)</f>
        <v/>
      </c>
      <c r="I5" s="20">
        <f>SUMIFS('محاسبه تسهیم'!$Q$5:$Q$265,'محاسبه تسهیم'!$A$5:$A$265,$A5,'محاسبه تسهیم'!$C$5:$C$265,I$4)</f>
        <v/>
      </c>
      <c r="J5" s="20">
        <f>SUMIFS('محاسبه تسهیم'!$Q$5:$Q$265,'محاسبه تسهیم'!$A$5:$A$265,$A5,'محاسبه تسهیم'!$C$5:$C$265,J$4)</f>
        <v/>
      </c>
      <c r="K5" s="20">
        <f>SUMIFS('محاسبه تسهیم'!$Q$5:$Q$265,'محاسبه تسهیم'!$A$5:$A$265,$A5,'محاسبه تسهیم'!$C$5:$C$265,K$4)</f>
        <v/>
      </c>
      <c r="L5" s="20">
        <f>SUMIFS('محاسبه تسهیم'!$Q$5:$Q$265,'محاسبه تسهیم'!$A$5:$A$265,$A5,'محاسبه تسهیم'!$C$5:$C$265,L$4)</f>
        <v/>
      </c>
      <c r="M5" s="20">
        <f>SUM(D5:L5)</f>
        <v/>
      </c>
      <c r="N5" s="20">
        <f>C5-M5</f>
        <v/>
      </c>
    </row>
    <row r="6">
      <c r="A6" s="22">
        <f>'سطرهای تسهیم'!A6</f>
        <v/>
      </c>
      <c r="B6" s="22">
        <f>'سطرهای تسهیم'!C6</f>
        <v/>
      </c>
      <c r="C6" s="19">
        <f>'سطرهای تسهیم'!E6</f>
        <v/>
      </c>
      <c r="D6" s="20">
        <f>SUMIFS('محاسبه تسهیم'!$Q$5:$Q$265,'محاسبه تسهیم'!$A$5:$A$265,$A6,'محاسبه تسهیم'!$C$5:$C$265,D$4)</f>
        <v/>
      </c>
      <c r="E6" s="20">
        <f>SUMIFS('محاسبه تسهیم'!$Q$5:$Q$265,'محاسبه تسهیم'!$A$5:$A$265,$A6,'محاسبه تسهیم'!$C$5:$C$265,E$4)</f>
        <v/>
      </c>
      <c r="F6" s="20">
        <f>SUMIFS('محاسبه تسهیم'!$Q$5:$Q$265,'محاسبه تسهیم'!$A$5:$A$265,$A6,'محاسبه تسهیم'!$C$5:$C$265,F$4)</f>
        <v/>
      </c>
      <c r="G6" s="20">
        <f>SUMIFS('محاسبه تسهیم'!$Q$5:$Q$265,'محاسبه تسهیم'!$A$5:$A$265,$A6,'محاسبه تسهیم'!$C$5:$C$265,G$4)</f>
        <v/>
      </c>
      <c r="H6" s="20">
        <f>SUMIFS('محاسبه تسهیم'!$Q$5:$Q$265,'محاسبه تسهیم'!$A$5:$A$265,$A6,'محاسبه تسهیم'!$C$5:$C$265,H$4)</f>
        <v/>
      </c>
      <c r="I6" s="20">
        <f>SUMIFS('محاسبه تسهیم'!$Q$5:$Q$265,'محاسبه تسهیم'!$A$5:$A$265,$A6,'محاسبه تسهیم'!$C$5:$C$265,I$4)</f>
        <v/>
      </c>
      <c r="J6" s="20">
        <f>SUMIFS('محاسبه تسهیم'!$Q$5:$Q$265,'محاسبه تسهیم'!$A$5:$A$265,$A6,'محاسبه تسهیم'!$C$5:$C$265,J$4)</f>
        <v/>
      </c>
      <c r="K6" s="20">
        <f>SUMIFS('محاسبه تسهیم'!$Q$5:$Q$265,'محاسبه تسهیم'!$A$5:$A$265,$A6,'محاسبه تسهیم'!$C$5:$C$265,K$4)</f>
        <v/>
      </c>
      <c r="L6" s="20">
        <f>SUMIFS('محاسبه تسهیم'!$Q$5:$Q$265,'محاسبه تسهیم'!$A$5:$A$265,$A6,'محاسبه تسهیم'!$C$5:$C$265,L$4)</f>
        <v/>
      </c>
      <c r="M6" s="20">
        <f>SUM(D6:L6)</f>
        <v/>
      </c>
      <c r="N6" s="20">
        <f>C6-M6</f>
        <v/>
      </c>
    </row>
    <row r="7">
      <c r="A7" s="22">
        <f>'سطرهای تسهیم'!A7</f>
        <v/>
      </c>
      <c r="B7" s="22">
        <f>'سطرهای تسهیم'!C7</f>
        <v/>
      </c>
      <c r="C7" s="19">
        <f>'سطرهای تسهیم'!E7</f>
        <v/>
      </c>
      <c r="D7" s="20">
        <f>SUMIFS('محاسبه تسهیم'!$Q$5:$Q$265,'محاسبه تسهیم'!$A$5:$A$265,$A7,'محاسبه تسهیم'!$C$5:$C$265,D$4)</f>
        <v/>
      </c>
      <c r="E7" s="20">
        <f>SUMIFS('محاسبه تسهیم'!$Q$5:$Q$265,'محاسبه تسهیم'!$A$5:$A$265,$A7,'محاسبه تسهیم'!$C$5:$C$265,E$4)</f>
        <v/>
      </c>
      <c r="F7" s="20">
        <f>SUMIFS('محاسبه تسهیم'!$Q$5:$Q$265,'محاسبه تسهیم'!$A$5:$A$265,$A7,'محاسبه تسهیم'!$C$5:$C$265,F$4)</f>
        <v/>
      </c>
      <c r="G7" s="20">
        <f>SUMIFS('محاسبه تسهیم'!$Q$5:$Q$265,'محاسبه تسهیم'!$A$5:$A$265,$A7,'محاسبه تسهیم'!$C$5:$C$265,G$4)</f>
        <v/>
      </c>
      <c r="H7" s="20">
        <f>SUMIFS('محاسبه تسهیم'!$Q$5:$Q$265,'محاسبه تسهیم'!$A$5:$A$265,$A7,'محاسبه تسهیم'!$C$5:$C$265,H$4)</f>
        <v/>
      </c>
      <c r="I7" s="20">
        <f>SUMIFS('محاسبه تسهیم'!$Q$5:$Q$265,'محاسبه تسهیم'!$A$5:$A$265,$A7,'محاسبه تسهیم'!$C$5:$C$265,I$4)</f>
        <v/>
      </c>
      <c r="J7" s="20">
        <f>SUMIFS('محاسبه تسهیم'!$Q$5:$Q$265,'محاسبه تسهیم'!$A$5:$A$265,$A7,'محاسبه تسهیم'!$C$5:$C$265,J$4)</f>
        <v/>
      </c>
      <c r="K7" s="20">
        <f>SUMIFS('محاسبه تسهیم'!$Q$5:$Q$265,'محاسبه تسهیم'!$A$5:$A$265,$A7,'محاسبه تسهیم'!$C$5:$C$265,K$4)</f>
        <v/>
      </c>
      <c r="L7" s="20">
        <f>SUMIFS('محاسبه تسهیم'!$Q$5:$Q$265,'محاسبه تسهیم'!$A$5:$A$265,$A7,'محاسبه تسهیم'!$C$5:$C$265,L$4)</f>
        <v/>
      </c>
      <c r="M7" s="20">
        <f>SUM(D7:L7)</f>
        <v/>
      </c>
      <c r="N7" s="20">
        <f>C7-M7</f>
        <v/>
      </c>
    </row>
    <row r="8">
      <c r="A8" s="22">
        <f>'سطرهای تسهیم'!A8</f>
        <v/>
      </c>
      <c r="B8" s="22">
        <f>'سطرهای تسهیم'!C8</f>
        <v/>
      </c>
      <c r="C8" s="19">
        <f>'سطرهای تسهیم'!E8</f>
        <v/>
      </c>
      <c r="D8" s="20">
        <f>SUMIFS('محاسبه تسهیم'!$Q$5:$Q$265,'محاسبه تسهیم'!$A$5:$A$265,$A8,'محاسبه تسهیم'!$C$5:$C$265,D$4)</f>
        <v/>
      </c>
      <c r="E8" s="20">
        <f>SUMIFS('محاسبه تسهیم'!$Q$5:$Q$265,'محاسبه تسهیم'!$A$5:$A$265,$A8,'محاسبه تسهیم'!$C$5:$C$265,E$4)</f>
        <v/>
      </c>
      <c r="F8" s="20">
        <f>SUMIFS('محاسبه تسهیم'!$Q$5:$Q$265,'محاسبه تسهیم'!$A$5:$A$265,$A8,'محاسبه تسهیم'!$C$5:$C$265,F$4)</f>
        <v/>
      </c>
      <c r="G8" s="20">
        <f>SUMIFS('محاسبه تسهیم'!$Q$5:$Q$265,'محاسبه تسهیم'!$A$5:$A$265,$A8,'محاسبه تسهیم'!$C$5:$C$265,G$4)</f>
        <v/>
      </c>
      <c r="H8" s="20">
        <f>SUMIFS('محاسبه تسهیم'!$Q$5:$Q$265,'محاسبه تسهیم'!$A$5:$A$265,$A8,'محاسبه تسهیم'!$C$5:$C$265,H$4)</f>
        <v/>
      </c>
      <c r="I8" s="20">
        <f>SUMIFS('محاسبه تسهیم'!$Q$5:$Q$265,'محاسبه تسهیم'!$A$5:$A$265,$A8,'محاسبه تسهیم'!$C$5:$C$265,I$4)</f>
        <v/>
      </c>
      <c r="J8" s="20">
        <f>SUMIFS('محاسبه تسهیم'!$Q$5:$Q$265,'محاسبه تسهیم'!$A$5:$A$265,$A8,'محاسبه تسهیم'!$C$5:$C$265,J$4)</f>
        <v/>
      </c>
      <c r="K8" s="20">
        <f>SUMIFS('محاسبه تسهیم'!$Q$5:$Q$265,'محاسبه تسهیم'!$A$5:$A$265,$A8,'محاسبه تسهیم'!$C$5:$C$265,K$4)</f>
        <v/>
      </c>
      <c r="L8" s="20">
        <f>SUMIFS('محاسبه تسهیم'!$Q$5:$Q$265,'محاسبه تسهیم'!$A$5:$A$265,$A8,'محاسبه تسهیم'!$C$5:$C$265,L$4)</f>
        <v/>
      </c>
      <c r="M8" s="20">
        <f>SUM(D8:L8)</f>
        <v/>
      </c>
      <c r="N8" s="20">
        <f>C8-M8</f>
        <v/>
      </c>
    </row>
    <row r="9">
      <c r="A9" s="22">
        <f>'سطرهای تسهیم'!A9</f>
        <v/>
      </c>
      <c r="B9" s="22">
        <f>'سطرهای تسهیم'!C9</f>
        <v/>
      </c>
      <c r="C9" s="19">
        <f>'سطرهای تسهیم'!E9</f>
        <v/>
      </c>
      <c r="D9" s="20">
        <f>SUMIFS('محاسبه تسهیم'!$Q$5:$Q$265,'محاسبه تسهیم'!$A$5:$A$265,$A9,'محاسبه تسهیم'!$C$5:$C$265,D$4)</f>
        <v/>
      </c>
      <c r="E9" s="20">
        <f>SUMIFS('محاسبه تسهیم'!$Q$5:$Q$265,'محاسبه تسهیم'!$A$5:$A$265,$A9,'محاسبه تسهیم'!$C$5:$C$265,E$4)</f>
        <v/>
      </c>
      <c r="F9" s="20">
        <f>SUMIFS('محاسبه تسهیم'!$Q$5:$Q$265,'محاسبه تسهیم'!$A$5:$A$265,$A9,'محاسبه تسهیم'!$C$5:$C$265,F$4)</f>
        <v/>
      </c>
      <c r="G9" s="20">
        <f>SUMIFS('محاسبه تسهیم'!$Q$5:$Q$265,'محاسبه تسهیم'!$A$5:$A$265,$A9,'محاسبه تسهیم'!$C$5:$C$265,G$4)</f>
        <v/>
      </c>
      <c r="H9" s="20">
        <f>SUMIFS('محاسبه تسهیم'!$Q$5:$Q$265,'محاسبه تسهیم'!$A$5:$A$265,$A9,'محاسبه تسهیم'!$C$5:$C$265,H$4)</f>
        <v/>
      </c>
      <c r="I9" s="20">
        <f>SUMIFS('محاسبه تسهیم'!$Q$5:$Q$265,'محاسبه تسهیم'!$A$5:$A$265,$A9,'محاسبه تسهیم'!$C$5:$C$265,I$4)</f>
        <v/>
      </c>
      <c r="J9" s="20">
        <f>SUMIFS('محاسبه تسهیم'!$Q$5:$Q$265,'محاسبه تسهیم'!$A$5:$A$265,$A9,'محاسبه تسهیم'!$C$5:$C$265,J$4)</f>
        <v/>
      </c>
      <c r="K9" s="20">
        <f>SUMIFS('محاسبه تسهیم'!$Q$5:$Q$265,'محاسبه تسهیم'!$A$5:$A$265,$A9,'محاسبه تسهیم'!$C$5:$C$265,K$4)</f>
        <v/>
      </c>
      <c r="L9" s="20">
        <f>SUMIFS('محاسبه تسهیم'!$Q$5:$Q$265,'محاسبه تسهیم'!$A$5:$A$265,$A9,'محاسبه تسهیم'!$C$5:$C$265,L$4)</f>
        <v/>
      </c>
      <c r="M9" s="20">
        <f>SUM(D9:L9)</f>
        <v/>
      </c>
      <c r="N9" s="20">
        <f>C9-M9</f>
        <v/>
      </c>
    </row>
    <row r="10">
      <c r="A10" s="22">
        <f>'سطرهای تسهیم'!A10</f>
        <v/>
      </c>
      <c r="B10" s="22">
        <f>'سطرهای تسهیم'!C10</f>
        <v/>
      </c>
      <c r="C10" s="19">
        <f>'سطرهای تسهیم'!E10</f>
        <v/>
      </c>
      <c r="D10" s="20">
        <f>SUMIFS('محاسبه تسهیم'!$Q$5:$Q$265,'محاسبه تسهیم'!$A$5:$A$265,$A10,'محاسبه تسهیم'!$C$5:$C$265,D$4)</f>
        <v/>
      </c>
      <c r="E10" s="20">
        <f>SUMIFS('محاسبه تسهیم'!$Q$5:$Q$265,'محاسبه تسهیم'!$A$5:$A$265,$A10,'محاسبه تسهیم'!$C$5:$C$265,E$4)</f>
        <v/>
      </c>
      <c r="F10" s="20">
        <f>SUMIFS('محاسبه تسهیم'!$Q$5:$Q$265,'محاسبه تسهیم'!$A$5:$A$265,$A10,'محاسبه تسهیم'!$C$5:$C$265,F$4)</f>
        <v/>
      </c>
      <c r="G10" s="20">
        <f>SUMIFS('محاسبه تسهیم'!$Q$5:$Q$265,'محاسبه تسهیم'!$A$5:$A$265,$A10,'محاسبه تسهیم'!$C$5:$C$265,G$4)</f>
        <v/>
      </c>
      <c r="H10" s="20">
        <f>SUMIFS('محاسبه تسهیم'!$Q$5:$Q$265,'محاسبه تسهیم'!$A$5:$A$265,$A10,'محاسبه تسهیم'!$C$5:$C$265,H$4)</f>
        <v/>
      </c>
      <c r="I10" s="20">
        <f>SUMIFS('محاسبه تسهیم'!$Q$5:$Q$265,'محاسبه تسهیم'!$A$5:$A$265,$A10,'محاسبه تسهیم'!$C$5:$C$265,I$4)</f>
        <v/>
      </c>
      <c r="J10" s="20">
        <f>SUMIFS('محاسبه تسهیم'!$Q$5:$Q$265,'محاسبه تسهیم'!$A$5:$A$265,$A10,'محاسبه تسهیم'!$C$5:$C$265,J$4)</f>
        <v/>
      </c>
      <c r="K10" s="20">
        <f>SUMIFS('محاسبه تسهیم'!$Q$5:$Q$265,'محاسبه تسهیم'!$A$5:$A$265,$A10,'محاسبه تسهیم'!$C$5:$C$265,K$4)</f>
        <v/>
      </c>
      <c r="L10" s="20">
        <f>SUMIFS('محاسبه تسهیم'!$Q$5:$Q$265,'محاسبه تسهیم'!$A$5:$A$265,$A10,'محاسبه تسهیم'!$C$5:$C$265,L$4)</f>
        <v/>
      </c>
      <c r="M10" s="20">
        <f>SUM(D10:L10)</f>
        <v/>
      </c>
      <c r="N10" s="20">
        <f>C10-M10</f>
        <v/>
      </c>
    </row>
    <row r="11">
      <c r="A11" s="22">
        <f>'سطرهای تسهیم'!A11</f>
        <v/>
      </c>
      <c r="B11" s="22">
        <f>'سطرهای تسهیم'!C11</f>
        <v/>
      </c>
      <c r="C11" s="19">
        <f>'سطرهای تسهیم'!E11</f>
        <v/>
      </c>
      <c r="D11" s="20">
        <f>SUMIFS('محاسبه تسهیم'!$Q$5:$Q$265,'محاسبه تسهیم'!$A$5:$A$265,$A11,'محاسبه تسهیم'!$C$5:$C$265,D$4)</f>
        <v/>
      </c>
      <c r="E11" s="20">
        <f>SUMIFS('محاسبه تسهیم'!$Q$5:$Q$265,'محاسبه تسهیم'!$A$5:$A$265,$A11,'محاسبه تسهیم'!$C$5:$C$265,E$4)</f>
        <v/>
      </c>
      <c r="F11" s="20">
        <f>SUMIFS('محاسبه تسهیم'!$Q$5:$Q$265,'محاسبه تسهیم'!$A$5:$A$265,$A11,'محاسبه تسهیم'!$C$5:$C$265,F$4)</f>
        <v/>
      </c>
      <c r="G11" s="20">
        <f>SUMIFS('محاسبه تسهیم'!$Q$5:$Q$265,'محاسبه تسهیم'!$A$5:$A$265,$A11,'محاسبه تسهیم'!$C$5:$C$265,G$4)</f>
        <v/>
      </c>
      <c r="H11" s="20">
        <f>SUMIFS('محاسبه تسهیم'!$Q$5:$Q$265,'محاسبه تسهیم'!$A$5:$A$265,$A11,'محاسبه تسهیم'!$C$5:$C$265,H$4)</f>
        <v/>
      </c>
      <c r="I11" s="20">
        <f>SUMIFS('محاسبه تسهیم'!$Q$5:$Q$265,'محاسبه تسهیم'!$A$5:$A$265,$A11,'محاسبه تسهیم'!$C$5:$C$265,I$4)</f>
        <v/>
      </c>
      <c r="J11" s="20">
        <f>SUMIFS('محاسبه تسهیم'!$Q$5:$Q$265,'محاسبه تسهیم'!$A$5:$A$265,$A11,'محاسبه تسهیم'!$C$5:$C$265,J$4)</f>
        <v/>
      </c>
      <c r="K11" s="20">
        <f>SUMIFS('محاسبه تسهیم'!$Q$5:$Q$265,'محاسبه تسهیم'!$A$5:$A$265,$A11,'محاسبه تسهیم'!$C$5:$C$265,K$4)</f>
        <v/>
      </c>
      <c r="L11" s="20">
        <f>SUMIFS('محاسبه تسهیم'!$Q$5:$Q$265,'محاسبه تسهیم'!$A$5:$A$265,$A11,'محاسبه تسهیم'!$C$5:$C$265,L$4)</f>
        <v/>
      </c>
      <c r="M11" s="20">
        <f>SUM(D11:L11)</f>
        <v/>
      </c>
      <c r="N11" s="20">
        <f>C11-M11</f>
        <v/>
      </c>
    </row>
    <row r="12">
      <c r="A12" s="22">
        <f>'سطرهای تسهیم'!A12</f>
        <v/>
      </c>
      <c r="B12" s="22">
        <f>'سطرهای تسهیم'!C12</f>
        <v/>
      </c>
      <c r="C12" s="19">
        <f>'سطرهای تسهیم'!E12</f>
        <v/>
      </c>
      <c r="D12" s="20">
        <f>SUMIFS('محاسبه تسهیم'!$Q$5:$Q$265,'محاسبه تسهیم'!$A$5:$A$265,$A12,'محاسبه تسهیم'!$C$5:$C$265,D$4)</f>
        <v/>
      </c>
      <c r="E12" s="20">
        <f>SUMIFS('محاسبه تسهیم'!$Q$5:$Q$265,'محاسبه تسهیم'!$A$5:$A$265,$A12,'محاسبه تسهیم'!$C$5:$C$265,E$4)</f>
        <v/>
      </c>
      <c r="F12" s="20">
        <f>SUMIFS('محاسبه تسهیم'!$Q$5:$Q$265,'محاسبه تسهیم'!$A$5:$A$265,$A12,'محاسبه تسهیم'!$C$5:$C$265,F$4)</f>
        <v/>
      </c>
      <c r="G12" s="20">
        <f>SUMIFS('محاسبه تسهیم'!$Q$5:$Q$265,'محاسبه تسهیم'!$A$5:$A$265,$A12,'محاسبه تسهیم'!$C$5:$C$265,G$4)</f>
        <v/>
      </c>
      <c r="H12" s="20">
        <f>SUMIFS('محاسبه تسهیم'!$Q$5:$Q$265,'محاسبه تسهیم'!$A$5:$A$265,$A12,'محاسبه تسهیم'!$C$5:$C$265,H$4)</f>
        <v/>
      </c>
      <c r="I12" s="20">
        <f>SUMIFS('محاسبه تسهیم'!$Q$5:$Q$265,'محاسبه تسهیم'!$A$5:$A$265,$A12,'محاسبه تسهیم'!$C$5:$C$265,I$4)</f>
        <v/>
      </c>
      <c r="J12" s="20">
        <f>SUMIFS('محاسبه تسهیم'!$Q$5:$Q$265,'محاسبه تسهیم'!$A$5:$A$265,$A12,'محاسبه تسهیم'!$C$5:$C$265,J$4)</f>
        <v/>
      </c>
      <c r="K12" s="20">
        <f>SUMIFS('محاسبه تسهیم'!$Q$5:$Q$265,'محاسبه تسهیم'!$A$5:$A$265,$A12,'محاسبه تسهیم'!$C$5:$C$265,K$4)</f>
        <v/>
      </c>
      <c r="L12" s="20">
        <f>SUMIFS('محاسبه تسهیم'!$Q$5:$Q$265,'محاسبه تسهیم'!$A$5:$A$265,$A12,'محاسبه تسهیم'!$C$5:$C$265,L$4)</f>
        <v/>
      </c>
      <c r="M12" s="20">
        <f>SUM(D12:L12)</f>
        <v/>
      </c>
      <c r="N12" s="20">
        <f>C12-M12</f>
        <v/>
      </c>
    </row>
    <row r="13">
      <c r="A13" s="22">
        <f>'سطرهای تسهیم'!A13</f>
        <v/>
      </c>
      <c r="B13" s="22">
        <f>'سطرهای تسهیم'!C13</f>
        <v/>
      </c>
      <c r="C13" s="19">
        <f>'سطرهای تسهیم'!E13</f>
        <v/>
      </c>
      <c r="D13" s="20">
        <f>SUMIFS('محاسبه تسهیم'!$Q$5:$Q$265,'محاسبه تسهیم'!$A$5:$A$265,$A13,'محاسبه تسهیم'!$C$5:$C$265,D$4)</f>
        <v/>
      </c>
      <c r="E13" s="20">
        <f>SUMIFS('محاسبه تسهیم'!$Q$5:$Q$265,'محاسبه تسهیم'!$A$5:$A$265,$A13,'محاسبه تسهیم'!$C$5:$C$265,E$4)</f>
        <v/>
      </c>
      <c r="F13" s="20">
        <f>SUMIFS('محاسبه تسهیم'!$Q$5:$Q$265,'محاسبه تسهیم'!$A$5:$A$265,$A13,'محاسبه تسهیم'!$C$5:$C$265,F$4)</f>
        <v/>
      </c>
      <c r="G13" s="20">
        <f>SUMIFS('محاسبه تسهیم'!$Q$5:$Q$265,'محاسبه تسهیم'!$A$5:$A$265,$A13,'محاسبه تسهیم'!$C$5:$C$265,G$4)</f>
        <v/>
      </c>
      <c r="H13" s="20">
        <f>SUMIFS('محاسبه تسهیم'!$Q$5:$Q$265,'محاسبه تسهیم'!$A$5:$A$265,$A13,'محاسبه تسهیم'!$C$5:$C$265,H$4)</f>
        <v/>
      </c>
      <c r="I13" s="20">
        <f>SUMIFS('محاسبه تسهیم'!$Q$5:$Q$265,'محاسبه تسهیم'!$A$5:$A$265,$A13,'محاسبه تسهیم'!$C$5:$C$265,I$4)</f>
        <v/>
      </c>
      <c r="J13" s="20">
        <f>SUMIFS('محاسبه تسهیم'!$Q$5:$Q$265,'محاسبه تسهیم'!$A$5:$A$265,$A13,'محاسبه تسهیم'!$C$5:$C$265,J$4)</f>
        <v/>
      </c>
      <c r="K13" s="20">
        <f>SUMIFS('محاسبه تسهیم'!$Q$5:$Q$265,'محاسبه تسهیم'!$A$5:$A$265,$A13,'محاسبه تسهیم'!$C$5:$C$265,K$4)</f>
        <v/>
      </c>
      <c r="L13" s="20">
        <f>SUMIFS('محاسبه تسهیم'!$Q$5:$Q$265,'محاسبه تسهیم'!$A$5:$A$265,$A13,'محاسبه تسهیم'!$C$5:$C$265,L$4)</f>
        <v/>
      </c>
      <c r="M13" s="20">
        <f>SUM(D13:L13)</f>
        <v/>
      </c>
      <c r="N13" s="20">
        <f>C13-M13</f>
        <v/>
      </c>
    </row>
    <row r="14">
      <c r="A14" s="22">
        <f>'سطرهای تسهیم'!A14</f>
        <v/>
      </c>
      <c r="B14" s="22">
        <f>'سطرهای تسهیم'!C14</f>
        <v/>
      </c>
      <c r="C14" s="19">
        <f>'سطرهای تسهیم'!E14</f>
        <v/>
      </c>
      <c r="D14" s="20">
        <f>SUMIFS('محاسبه تسهیم'!$Q$5:$Q$265,'محاسبه تسهیم'!$A$5:$A$265,$A14,'محاسبه تسهیم'!$C$5:$C$265,D$4)</f>
        <v/>
      </c>
      <c r="E14" s="20">
        <f>SUMIFS('محاسبه تسهیم'!$Q$5:$Q$265,'محاسبه تسهیم'!$A$5:$A$265,$A14,'محاسبه تسهیم'!$C$5:$C$265,E$4)</f>
        <v/>
      </c>
      <c r="F14" s="20">
        <f>SUMIFS('محاسبه تسهیم'!$Q$5:$Q$265,'محاسبه تسهیم'!$A$5:$A$265,$A14,'محاسبه تسهیم'!$C$5:$C$265,F$4)</f>
        <v/>
      </c>
      <c r="G14" s="20">
        <f>SUMIFS('محاسبه تسهیم'!$Q$5:$Q$265,'محاسبه تسهیم'!$A$5:$A$265,$A14,'محاسبه تسهیم'!$C$5:$C$265,G$4)</f>
        <v/>
      </c>
      <c r="H14" s="20">
        <f>SUMIFS('محاسبه تسهیم'!$Q$5:$Q$265,'محاسبه تسهیم'!$A$5:$A$265,$A14,'محاسبه تسهیم'!$C$5:$C$265,H$4)</f>
        <v/>
      </c>
      <c r="I14" s="20">
        <f>SUMIFS('محاسبه تسهیم'!$Q$5:$Q$265,'محاسبه تسهیم'!$A$5:$A$265,$A14,'محاسبه تسهیم'!$C$5:$C$265,I$4)</f>
        <v/>
      </c>
      <c r="J14" s="20">
        <f>SUMIFS('محاسبه تسهیم'!$Q$5:$Q$265,'محاسبه تسهیم'!$A$5:$A$265,$A14,'محاسبه تسهیم'!$C$5:$C$265,J$4)</f>
        <v/>
      </c>
      <c r="K14" s="20">
        <f>SUMIFS('محاسبه تسهیم'!$Q$5:$Q$265,'محاسبه تسهیم'!$A$5:$A$265,$A14,'محاسبه تسهیم'!$C$5:$C$265,K$4)</f>
        <v/>
      </c>
      <c r="L14" s="20">
        <f>SUMIFS('محاسبه تسهیم'!$Q$5:$Q$265,'محاسبه تسهیم'!$A$5:$A$265,$A14,'محاسبه تسهیم'!$C$5:$C$265,L$4)</f>
        <v/>
      </c>
      <c r="M14" s="20">
        <f>SUM(D14:L14)</f>
        <v/>
      </c>
      <c r="N14" s="20">
        <f>C14-M14</f>
        <v/>
      </c>
    </row>
    <row r="15">
      <c r="A15" s="22">
        <f>'سطرهای تسهیم'!A15</f>
        <v/>
      </c>
      <c r="B15" s="22">
        <f>'سطرهای تسهیم'!C15</f>
        <v/>
      </c>
      <c r="C15" s="19">
        <f>'سطرهای تسهیم'!E15</f>
        <v/>
      </c>
      <c r="D15" s="20">
        <f>SUMIFS('محاسبه تسهیم'!$Q$5:$Q$265,'محاسبه تسهیم'!$A$5:$A$265,$A15,'محاسبه تسهیم'!$C$5:$C$265,D$4)</f>
        <v/>
      </c>
      <c r="E15" s="20">
        <f>SUMIFS('محاسبه تسهیم'!$Q$5:$Q$265,'محاسبه تسهیم'!$A$5:$A$265,$A15,'محاسبه تسهیم'!$C$5:$C$265,E$4)</f>
        <v/>
      </c>
      <c r="F15" s="20">
        <f>SUMIFS('محاسبه تسهیم'!$Q$5:$Q$265,'محاسبه تسهیم'!$A$5:$A$265,$A15,'محاسبه تسهیم'!$C$5:$C$265,F$4)</f>
        <v/>
      </c>
      <c r="G15" s="20">
        <f>SUMIFS('محاسبه تسهیم'!$Q$5:$Q$265,'محاسبه تسهیم'!$A$5:$A$265,$A15,'محاسبه تسهیم'!$C$5:$C$265,G$4)</f>
        <v/>
      </c>
      <c r="H15" s="20">
        <f>SUMIFS('محاسبه تسهیم'!$Q$5:$Q$265,'محاسبه تسهیم'!$A$5:$A$265,$A15,'محاسبه تسهیم'!$C$5:$C$265,H$4)</f>
        <v/>
      </c>
      <c r="I15" s="20">
        <f>SUMIFS('محاسبه تسهیم'!$Q$5:$Q$265,'محاسبه تسهیم'!$A$5:$A$265,$A15,'محاسبه تسهیم'!$C$5:$C$265,I$4)</f>
        <v/>
      </c>
      <c r="J15" s="20">
        <f>SUMIFS('محاسبه تسهیم'!$Q$5:$Q$265,'محاسبه تسهیم'!$A$5:$A$265,$A15,'محاسبه تسهیم'!$C$5:$C$265,J$4)</f>
        <v/>
      </c>
      <c r="K15" s="20">
        <f>SUMIFS('محاسبه تسهیم'!$Q$5:$Q$265,'محاسبه تسهیم'!$A$5:$A$265,$A15,'محاسبه تسهیم'!$C$5:$C$265,K$4)</f>
        <v/>
      </c>
      <c r="L15" s="20">
        <f>SUMIFS('محاسبه تسهیم'!$Q$5:$Q$265,'محاسبه تسهیم'!$A$5:$A$265,$A15,'محاسبه تسهیم'!$C$5:$C$265,L$4)</f>
        <v/>
      </c>
      <c r="M15" s="20">
        <f>SUM(D15:L15)</f>
        <v/>
      </c>
      <c r="N15" s="20">
        <f>C15-M15</f>
        <v/>
      </c>
    </row>
    <row r="16">
      <c r="A16" s="22">
        <f>'سطرهای تسهیم'!A16</f>
        <v/>
      </c>
      <c r="B16" s="22">
        <f>'سطرهای تسهیم'!C16</f>
        <v/>
      </c>
      <c r="C16" s="19">
        <f>'سطرهای تسهیم'!E16</f>
        <v/>
      </c>
      <c r="D16" s="20">
        <f>SUMIFS('محاسبه تسهیم'!$Q$5:$Q$265,'محاسبه تسهیم'!$A$5:$A$265,$A16,'محاسبه تسهیم'!$C$5:$C$265,D$4)</f>
        <v/>
      </c>
      <c r="E16" s="20">
        <f>SUMIFS('محاسبه تسهیم'!$Q$5:$Q$265,'محاسبه تسهیم'!$A$5:$A$265,$A16,'محاسبه تسهیم'!$C$5:$C$265,E$4)</f>
        <v/>
      </c>
      <c r="F16" s="20">
        <f>SUMIFS('محاسبه تسهیم'!$Q$5:$Q$265,'محاسبه تسهیم'!$A$5:$A$265,$A16,'محاسبه تسهیم'!$C$5:$C$265,F$4)</f>
        <v/>
      </c>
      <c r="G16" s="20">
        <f>SUMIFS('محاسبه تسهیم'!$Q$5:$Q$265,'محاسبه تسهیم'!$A$5:$A$265,$A16,'محاسبه تسهیم'!$C$5:$C$265,G$4)</f>
        <v/>
      </c>
      <c r="H16" s="20">
        <f>SUMIFS('محاسبه تسهیم'!$Q$5:$Q$265,'محاسبه تسهیم'!$A$5:$A$265,$A16,'محاسبه تسهیم'!$C$5:$C$265,H$4)</f>
        <v/>
      </c>
      <c r="I16" s="20">
        <f>SUMIFS('محاسبه تسهیم'!$Q$5:$Q$265,'محاسبه تسهیم'!$A$5:$A$265,$A16,'محاسبه تسهیم'!$C$5:$C$265,I$4)</f>
        <v/>
      </c>
      <c r="J16" s="20">
        <f>SUMIFS('محاسبه تسهیم'!$Q$5:$Q$265,'محاسبه تسهیم'!$A$5:$A$265,$A16,'محاسبه تسهیم'!$C$5:$C$265,J$4)</f>
        <v/>
      </c>
      <c r="K16" s="20">
        <f>SUMIFS('محاسبه تسهیم'!$Q$5:$Q$265,'محاسبه تسهیم'!$A$5:$A$265,$A16,'محاسبه تسهیم'!$C$5:$C$265,K$4)</f>
        <v/>
      </c>
      <c r="L16" s="20">
        <f>SUMIFS('محاسبه تسهیم'!$Q$5:$Q$265,'محاسبه تسهیم'!$A$5:$A$265,$A16,'محاسبه تسهیم'!$C$5:$C$265,L$4)</f>
        <v/>
      </c>
      <c r="M16" s="20">
        <f>SUM(D16:L16)</f>
        <v/>
      </c>
      <c r="N16" s="20">
        <f>C16-M16</f>
        <v/>
      </c>
    </row>
    <row r="17">
      <c r="A17" s="22">
        <f>'سطرهای تسهیم'!A17</f>
        <v/>
      </c>
      <c r="B17" s="22">
        <f>'سطرهای تسهیم'!C17</f>
        <v/>
      </c>
      <c r="C17" s="19">
        <f>'سطرهای تسهیم'!E17</f>
        <v/>
      </c>
      <c r="D17" s="20">
        <f>SUMIFS('محاسبه تسهیم'!$Q$5:$Q$265,'محاسبه تسهیم'!$A$5:$A$265,$A17,'محاسبه تسهیم'!$C$5:$C$265,D$4)</f>
        <v/>
      </c>
      <c r="E17" s="20">
        <f>SUMIFS('محاسبه تسهیم'!$Q$5:$Q$265,'محاسبه تسهیم'!$A$5:$A$265,$A17,'محاسبه تسهیم'!$C$5:$C$265,E$4)</f>
        <v/>
      </c>
      <c r="F17" s="20">
        <f>SUMIFS('محاسبه تسهیم'!$Q$5:$Q$265,'محاسبه تسهیم'!$A$5:$A$265,$A17,'محاسبه تسهیم'!$C$5:$C$265,F$4)</f>
        <v/>
      </c>
      <c r="G17" s="20">
        <f>SUMIFS('محاسبه تسهیم'!$Q$5:$Q$265,'محاسبه تسهیم'!$A$5:$A$265,$A17,'محاسبه تسهیم'!$C$5:$C$265,G$4)</f>
        <v/>
      </c>
      <c r="H17" s="20">
        <f>SUMIFS('محاسبه تسهیم'!$Q$5:$Q$265,'محاسبه تسهیم'!$A$5:$A$265,$A17,'محاسبه تسهیم'!$C$5:$C$265,H$4)</f>
        <v/>
      </c>
      <c r="I17" s="20">
        <f>SUMIFS('محاسبه تسهیم'!$Q$5:$Q$265,'محاسبه تسهیم'!$A$5:$A$265,$A17,'محاسبه تسهیم'!$C$5:$C$265,I$4)</f>
        <v/>
      </c>
      <c r="J17" s="20">
        <f>SUMIFS('محاسبه تسهیم'!$Q$5:$Q$265,'محاسبه تسهیم'!$A$5:$A$265,$A17,'محاسبه تسهیم'!$C$5:$C$265,J$4)</f>
        <v/>
      </c>
      <c r="K17" s="20">
        <f>SUMIFS('محاسبه تسهیم'!$Q$5:$Q$265,'محاسبه تسهیم'!$A$5:$A$265,$A17,'محاسبه تسهیم'!$C$5:$C$265,K$4)</f>
        <v/>
      </c>
      <c r="L17" s="20">
        <f>SUMIFS('محاسبه تسهیم'!$Q$5:$Q$265,'محاسبه تسهیم'!$A$5:$A$265,$A17,'محاسبه تسهیم'!$C$5:$C$265,L$4)</f>
        <v/>
      </c>
      <c r="M17" s="20">
        <f>SUM(D17:L17)</f>
        <v/>
      </c>
      <c r="N17" s="20">
        <f>C17-M17</f>
        <v/>
      </c>
    </row>
    <row r="18">
      <c r="A18" s="22">
        <f>'سطرهای تسهیم'!A18</f>
        <v/>
      </c>
      <c r="B18" s="22">
        <f>'سطرهای تسهیم'!C18</f>
        <v/>
      </c>
      <c r="C18" s="19">
        <f>'سطرهای تسهیم'!E18</f>
        <v/>
      </c>
      <c r="D18" s="20">
        <f>SUMIFS('محاسبه تسهیم'!$Q$5:$Q$265,'محاسبه تسهیم'!$A$5:$A$265,$A18,'محاسبه تسهیم'!$C$5:$C$265,D$4)</f>
        <v/>
      </c>
      <c r="E18" s="20">
        <f>SUMIFS('محاسبه تسهیم'!$Q$5:$Q$265,'محاسبه تسهیم'!$A$5:$A$265,$A18,'محاسبه تسهیم'!$C$5:$C$265,E$4)</f>
        <v/>
      </c>
      <c r="F18" s="20">
        <f>SUMIFS('محاسبه تسهیم'!$Q$5:$Q$265,'محاسبه تسهیم'!$A$5:$A$265,$A18,'محاسبه تسهیم'!$C$5:$C$265,F$4)</f>
        <v/>
      </c>
      <c r="G18" s="20">
        <f>SUMIFS('محاسبه تسهیم'!$Q$5:$Q$265,'محاسبه تسهیم'!$A$5:$A$265,$A18,'محاسبه تسهیم'!$C$5:$C$265,G$4)</f>
        <v/>
      </c>
      <c r="H18" s="20">
        <f>SUMIFS('محاسبه تسهیم'!$Q$5:$Q$265,'محاسبه تسهیم'!$A$5:$A$265,$A18,'محاسبه تسهیم'!$C$5:$C$265,H$4)</f>
        <v/>
      </c>
      <c r="I18" s="20">
        <f>SUMIFS('محاسبه تسهیم'!$Q$5:$Q$265,'محاسبه تسهیم'!$A$5:$A$265,$A18,'محاسبه تسهیم'!$C$5:$C$265,I$4)</f>
        <v/>
      </c>
      <c r="J18" s="20">
        <f>SUMIFS('محاسبه تسهیم'!$Q$5:$Q$265,'محاسبه تسهیم'!$A$5:$A$265,$A18,'محاسبه تسهیم'!$C$5:$C$265,J$4)</f>
        <v/>
      </c>
      <c r="K18" s="20">
        <f>SUMIFS('محاسبه تسهیم'!$Q$5:$Q$265,'محاسبه تسهیم'!$A$5:$A$265,$A18,'محاسبه تسهیم'!$C$5:$C$265,K$4)</f>
        <v/>
      </c>
      <c r="L18" s="20">
        <f>SUMIFS('محاسبه تسهیم'!$Q$5:$Q$265,'محاسبه تسهیم'!$A$5:$A$265,$A18,'محاسبه تسهیم'!$C$5:$C$265,L$4)</f>
        <v/>
      </c>
      <c r="M18" s="20">
        <f>SUM(D18:L18)</f>
        <v/>
      </c>
      <c r="N18" s="20">
        <f>C18-M18</f>
        <v/>
      </c>
    </row>
    <row r="19">
      <c r="A19" s="22">
        <f>'سطرهای تسهیم'!A19</f>
        <v/>
      </c>
      <c r="B19" s="22">
        <f>'سطرهای تسهیم'!C19</f>
        <v/>
      </c>
      <c r="C19" s="19">
        <f>'سطرهای تسهیم'!E19</f>
        <v/>
      </c>
      <c r="D19" s="20">
        <f>SUMIFS('محاسبه تسهیم'!$Q$5:$Q$265,'محاسبه تسهیم'!$A$5:$A$265,$A19,'محاسبه تسهیم'!$C$5:$C$265,D$4)</f>
        <v/>
      </c>
      <c r="E19" s="20">
        <f>SUMIFS('محاسبه تسهیم'!$Q$5:$Q$265,'محاسبه تسهیم'!$A$5:$A$265,$A19,'محاسبه تسهیم'!$C$5:$C$265,E$4)</f>
        <v/>
      </c>
      <c r="F19" s="20">
        <f>SUMIFS('محاسبه تسهیم'!$Q$5:$Q$265,'محاسبه تسهیم'!$A$5:$A$265,$A19,'محاسبه تسهیم'!$C$5:$C$265,F$4)</f>
        <v/>
      </c>
      <c r="G19" s="20">
        <f>SUMIFS('محاسبه تسهیم'!$Q$5:$Q$265,'محاسبه تسهیم'!$A$5:$A$265,$A19,'محاسبه تسهیم'!$C$5:$C$265,G$4)</f>
        <v/>
      </c>
      <c r="H19" s="20">
        <f>SUMIFS('محاسبه تسهیم'!$Q$5:$Q$265,'محاسبه تسهیم'!$A$5:$A$265,$A19,'محاسبه تسهیم'!$C$5:$C$265,H$4)</f>
        <v/>
      </c>
      <c r="I19" s="20">
        <f>SUMIFS('محاسبه تسهیم'!$Q$5:$Q$265,'محاسبه تسهیم'!$A$5:$A$265,$A19,'محاسبه تسهیم'!$C$5:$C$265,I$4)</f>
        <v/>
      </c>
      <c r="J19" s="20">
        <f>SUMIFS('محاسبه تسهیم'!$Q$5:$Q$265,'محاسبه تسهیم'!$A$5:$A$265,$A19,'محاسبه تسهیم'!$C$5:$C$265,J$4)</f>
        <v/>
      </c>
      <c r="K19" s="20">
        <f>SUMIFS('محاسبه تسهیم'!$Q$5:$Q$265,'محاسبه تسهیم'!$A$5:$A$265,$A19,'محاسبه تسهیم'!$C$5:$C$265,K$4)</f>
        <v/>
      </c>
      <c r="L19" s="20">
        <f>SUMIFS('محاسبه تسهیم'!$Q$5:$Q$265,'محاسبه تسهیم'!$A$5:$A$265,$A19,'محاسبه تسهیم'!$C$5:$C$265,L$4)</f>
        <v/>
      </c>
      <c r="M19" s="20">
        <f>SUM(D19:L19)</f>
        <v/>
      </c>
      <c r="N19" s="20">
        <f>C19-M19</f>
        <v/>
      </c>
    </row>
    <row r="20">
      <c r="A20" s="22">
        <f>'سطرهای تسهیم'!A20</f>
        <v/>
      </c>
      <c r="B20" s="22">
        <f>'سطرهای تسهیم'!C20</f>
        <v/>
      </c>
      <c r="C20" s="19">
        <f>'سطرهای تسهیم'!E20</f>
        <v/>
      </c>
      <c r="D20" s="20">
        <f>SUMIFS('محاسبه تسهیم'!$Q$5:$Q$265,'محاسبه تسهیم'!$A$5:$A$265,$A20,'محاسبه تسهیم'!$C$5:$C$265,D$4)</f>
        <v/>
      </c>
      <c r="E20" s="20">
        <f>SUMIFS('محاسبه تسهیم'!$Q$5:$Q$265,'محاسبه تسهیم'!$A$5:$A$265,$A20,'محاسبه تسهیم'!$C$5:$C$265,E$4)</f>
        <v/>
      </c>
      <c r="F20" s="20">
        <f>SUMIFS('محاسبه تسهیم'!$Q$5:$Q$265,'محاسبه تسهیم'!$A$5:$A$265,$A20,'محاسبه تسهیم'!$C$5:$C$265,F$4)</f>
        <v/>
      </c>
      <c r="G20" s="20">
        <f>SUMIFS('محاسبه تسهیم'!$Q$5:$Q$265,'محاسبه تسهیم'!$A$5:$A$265,$A20,'محاسبه تسهیم'!$C$5:$C$265,G$4)</f>
        <v/>
      </c>
      <c r="H20" s="20">
        <f>SUMIFS('محاسبه تسهیم'!$Q$5:$Q$265,'محاسبه تسهیم'!$A$5:$A$265,$A20,'محاسبه تسهیم'!$C$5:$C$265,H$4)</f>
        <v/>
      </c>
      <c r="I20" s="20">
        <f>SUMIFS('محاسبه تسهیم'!$Q$5:$Q$265,'محاسبه تسهیم'!$A$5:$A$265,$A20,'محاسبه تسهیم'!$C$5:$C$265,I$4)</f>
        <v/>
      </c>
      <c r="J20" s="20">
        <f>SUMIFS('محاسبه تسهیم'!$Q$5:$Q$265,'محاسبه تسهیم'!$A$5:$A$265,$A20,'محاسبه تسهیم'!$C$5:$C$265,J$4)</f>
        <v/>
      </c>
      <c r="K20" s="20">
        <f>SUMIFS('محاسبه تسهیم'!$Q$5:$Q$265,'محاسبه تسهیم'!$A$5:$A$265,$A20,'محاسبه تسهیم'!$C$5:$C$265,K$4)</f>
        <v/>
      </c>
      <c r="L20" s="20">
        <f>SUMIFS('محاسبه تسهیم'!$Q$5:$Q$265,'محاسبه تسهیم'!$A$5:$A$265,$A20,'محاسبه تسهیم'!$C$5:$C$265,L$4)</f>
        <v/>
      </c>
      <c r="M20" s="20">
        <f>SUM(D20:L20)</f>
        <v/>
      </c>
      <c r="N20" s="20">
        <f>C20-M20</f>
        <v/>
      </c>
    </row>
    <row r="21">
      <c r="A21" s="22">
        <f>'سطرهای تسهیم'!A21</f>
        <v/>
      </c>
      <c r="B21" s="22">
        <f>'سطرهای تسهیم'!C21</f>
        <v/>
      </c>
      <c r="C21" s="19">
        <f>'سطرهای تسهیم'!E21</f>
        <v/>
      </c>
      <c r="D21" s="20">
        <f>SUMIFS('محاسبه تسهیم'!$Q$5:$Q$265,'محاسبه تسهیم'!$A$5:$A$265,$A21,'محاسبه تسهیم'!$C$5:$C$265,D$4)</f>
        <v/>
      </c>
      <c r="E21" s="20">
        <f>SUMIFS('محاسبه تسهیم'!$Q$5:$Q$265,'محاسبه تسهیم'!$A$5:$A$265,$A21,'محاسبه تسهیم'!$C$5:$C$265,E$4)</f>
        <v/>
      </c>
      <c r="F21" s="20">
        <f>SUMIFS('محاسبه تسهیم'!$Q$5:$Q$265,'محاسبه تسهیم'!$A$5:$A$265,$A21,'محاسبه تسهیم'!$C$5:$C$265,F$4)</f>
        <v/>
      </c>
      <c r="G21" s="20">
        <f>SUMIFS('محاسبه تسهیم'!$Q$5:$Q$265,'محاسبه تسهیم'!$A$5:$A$265,$A21,'محاسبه تسهیم'!$C$5:$C$265,G$4)</f>
        <v/>
      </c>
      <c r="H21" s="20">
        <f>SUMIFS('محاسبه تسهیم'!$Q$5:$Q$265,'محاسبه تسهیم'!$A$5:$A$265,$A21,'محاسبه تسهیم'!$C$5:$C$265,H$4)</f>
        <v/>
      </c>
      <c r="I21" s="20">
        <f>SUMIFS('محاسبه تسهیم'!$Q$5:$Q$265,'محاسبه تسهیم'!$A$5:$A$265,$A21,'محاسبه تسهیم'!$C$5:$C$265,I$4)</f>
        <v/>
      </c>
      <c r="J21" s="20">
        <f>SUMIFS('محاسبه تسهیم'!$Q$5:$Q$265,'محاسبه تسهیم'!$A$5:$A$265,$A21,'محاسبه تسهیم'!$C$5:$C$265,J$4)</f>
        <v/>
      </c>
      <c r="K21" s="20">
        <f>SUMIFS('محاسبه تسهیم'!$Q$5:$Q$265,'محاسبه تسهیم'!$A$5:$A$265,$A21,'محاسبه تسهیم'!$C$5:$C$265,K$4)</f>
        <v/>
      </c>
      <c r="L21" s="20">
        <f>SUMIFS('محاسبه تسهیم'!$Q$5:$Q$265,'محاسبه تسهیم'!$A$5:$A$265,$A21,'محاسبه تسهیم'!$C$5:$C$265,L$4)</f>
        <v/>
      </c>
      <c r="M21" s="20">
        <f>SUM(D21:L21)</f>
        <v/>
      </c>
      <c r="N21" s="20">
        <f>C21-M21</f>
        <v/>
      </c>
    </row>
    <row r="22">
      <c r="A22" s="22">
        <f>'سطرهای تسهیم'!A22</f>
        <v/>
      </c>
      <c r="B22" s="22">
        <f>'سطرهای تسهیم'!C22</f>
        <v/>
      </c>
      <c r="C22" s="19">
        <f>'سطرهای تسهیم'!E22</f>
        <v/>
      </c>
      <c r="D22" s="20">
        <f>SUMIFS('محاسبه تسهیم'!$Q$5:$Q$265,'محاسبه تسهیم'!$A$5:$A$265,$A22,'محاسبه تسهیم'!$C$5:$C$265,D$4)</f>
        <v/>
      </c>
      <c r="E22" s="20">
        <f>SUMIFS('محاسبه تسهیم'!$Q$5:$Q$265,'محاسبه تسهیم'!$A$5:$A$265,$A22,'محاسبه تسهیم'!$C$5:$C$265,E$4)</f>
        <v/>
      </c>
      <c r="F22" s="20">
        <f>SUMIFS('محاسبه تسهیم'!$Q$5:$Q$265,'محاسبه تسهیم'!$A$5:$A$265,$A22,'محاسبه تسهیم'!$C$5:$C$265,F$4)</f>
        <v/>
      </c>
      <c r="G22" s="20">
        <f>SUMIFS('محاسبه تسهیم'!$Q$5:$Q$265,'محاسبه تسهیم'!$A$5:$A$265,$A22,'محاسبه تسهیم'!$C$5:$C$265,G$4)</f>
        <v/>
      </c>
      <c r="H22" s="20">
        <f>SUMIFS('محاسبه تسهیم'!$Q$5:$Q$265,'محاسبه تسهیم'!$A$5:$A$265,$A22,'محاسبه تسهیم'!$C$5:$C$265,H$4)</f>
        <v/>
      </c>
      <c r="I22" s="20">
        <f>SUMIFS('محاسبه تسهیم'!$Q$5:$Q$265,'محاسبه تسهیم'!$A$5:$A$265,$A22,'محاسبه تسهیم'!$C$5:$C$265,I$4)</f>
        <v/>
      </c>
      <c r="J22" s="20">
        <f>SUMIFS('محاسبه تسهیم'!$Q$5:$Q$265,'محاسبه تسهیم'!$A$5:$A$265,$A22,'محاسبه تسهیم'!$C$5:$C$265,J$4)</f>
        <v/>
      </c>
      <c r="K22" s="20">
        <f>SUMIFS('محاسبه تسهیم'!$Q$5:$Q$265,'محاسبه تسهیم'!$A$5:$A$265,$A22,'محاسبه تسهیم'!$C$5:$C$265,K$4)</f>
        <v/>
      </c>
      <c r="L22" s="20">
        <f>SUMIFS('محاسبه تسهیم'!$Q$5:$Q$265,'محاسبه تسهیم'!$A$5:$A$265,$A22,'محاسبه تسهیم'!$C$5:$C$265,L$4)</f>
        <v/>
      </c>
      <c r="M22" s="20">
        <f>SUM(D22:L22)</f>
        <v/>
      </c>
      <c r="N22" s="20">
        <f>C22-M22</f>
        <v/>
      </c>
    </row>
    <row r="23">
      <c r="A23" s="22">
        <f>'سطرهای تسهیم'!A23</f>
        <v/>
      </c>
      <c r="B23" s="22">
        <f>'سطرهای تسهیم'!C23</f>
        <v/>
      </c>
      <c r="C23" s="19">
        <f>'سطرهای تسهیم'!E23</f>
        <v/>
      </c>
      <c r="D23" s="20">
        <f>SUMIFS('محاسبه تسهیم'!$Q$5:$Q$265,'محاسبه تسهیم'!$A$5:$A$265,$A23,'محاسبه تسهیم'!$C$5:$C$265,D$4)</f>
        <v/>
      </c>
      <c r="E23" s="20">
        <f>SUMIFS('محاسبه تسهیم'!$Q$5:$Q$265,'محاسبه تسهیم'!$A$5:$A$265,$A23,'محاسبه تسهیم'!$C$5:$C$265,E$4)</f>
        <v/>
      </c>
      <c r="F23" s="20">
        <f>SUMIFS('محاسبه تسهیم'!$Q$5:$Q$265,'محاسبه تسهیم'!$A$5:$A$265,$A23,'محاسبه تسهیم'!$C$5:$C$265,F$4)</f>
        <v/>
      </c>
      <c r="G23" s="20">
        <f>SUMIFS('محاسبه تسهیم'!$Q$5:$Q$265,'محاسبه تسهیم'!$A$5:$A$265,$A23,'محاسبه تسهیم'!$C$5:$C$265,G$4)</f>
        <v/>
      </c>
      <c r="H23" s="20">
        <f>SUMIFS('محاسبه تسهیم'!$Q$5:$Q$265,'محاسبه تسهیم'!$A$5:$A$265,$A23,'محاسبه تسهیم'!$C$5:$C$265,H$4)</f>
        <v/>
      </c>
      <c r="I23" s="20">
        <f>SUMIFS('محاسبه تسهیم'!$Q$5:$Q$265,'محاسبه تسهیم'!$A$5:$A$265,$A23,'محاسبه تسهیم'!$C$5:$C$265,I$4)</f>
        <v/>
      </c>
      <c r="J23" s="20">
        <f>SUMIFS('محاسبه تسهیم'!$Q$5:$Q$265,'محاسبه تسهیم'!$A$5:$A$265,$A23,'محاسبه تسهیم'!$C$5:$C$265,J$4)</f>
        <v/>
      </c>
      <c r="K23" s="20">
        <f>SUMIFS('محاسبه تسهیم'!$Q$5:$Q$265,'محاسبه تسهیم'!$A$5:$A$265,$A23,'محاسبه تسهیم'!$C$5:$C$265,K$4)</f>
        <v/>
      </c>
      <c r="L23" s="20">
        <f>SUMIFS('محاسبه تسهیم'!$Q$5:$Q$265,'محاسبه تسهیم'!$A$5:$A$265,$A23,'محاسبه تسهیم'!$C$5:$C$265,L$4)</f>
        <v/>
      </c>
      <c r="M23" s="20">
        <f>SUM(D23:L23)</f>
        <v/>
      </c>
      <c r="N23" s="20">
        <f>C23-M23</f>
        <v/>
      </c>
    </row>
    <row r="24">
      <c r="A24" s="22">
        <f>'سطرهای تسهیم'!A24</f>
        <v/>
      </c>
      <c r="B24" s="22">
        <f>'سطرهای تسهیم'!C24</f>
        <v/>
      </c>
      <c r="C24" s="19">
        <f>'سطرهای تسهیم'!E24</f>
        <v/>
      </c>
      <c r="D24" s="20">
        <f>SUMIFS('محاسبه تسهیم'!$Q$5:$Q$265,'محاسبه تسهیم'!$A$5:$A$265,$A24,'محاسبه تسهیم'!$C$5:$C$265,D$4)</f>
        <v/>
      </c>
      <c r="E24" s="20">
        <f>SUMIFS('محاسبه تسهیم'!$Q$5:$Q$265,'محاسبه تسهیم'!$A$5:$A$265,$A24,'محاسبه تسهیم'!$C$5:$C$265,E$4)</f>
        <v/>
      </c>
      <c r="F24" s="20">
        <f>SUMIFS('محاسبه تسهیم'!$Q$5:$Q$265,'محاسبه تسهیم'!$A$5:$A$265,$A24,'محاسبه تسهیم'!$C$5:$C$265,F$4)</f>
        <v/>
      </c>
      <c r="G24" s="20">
        <f>SUMIFS('محاسبه تسهیم'!$Q$5:$Q$265,'محاسبه تسهیم'!$A$5:$A$265,$A24,'محاسبه تسهیم'!$C$5:$C$265,G$4)</f>
        <v/>
      </c>
      <c r="H24" s="20">
        <f>SUMIFS('محاسبه تسهیم'!$Q$5:$Q$265,'محاسبه تسهیم'!$A$5:$A$265,$A24,'محاسبه تسهیم'!$C$5:$C$265,H$4)</f>
        <v/>
      </c>
      <c r="I24" s="20">
        <f>SUMIFS('محاسبه تسهیم'!$Q$5:$Q$265,'محاسبه تسهیم'!$A$5:$A$265,$A24,'محاسبه تسهیم'!$C$5:$C$265,I$4)</f>
        <v/>
      </c>
      <c r="J24" s="20">
        <f>SUMIFS('محاسبه تسهیم'!$Q$5:$Q$265,'محاسبه تسهیم'!$A$5:$A$265,$A24,'محاسبه تسهیم'!$C$5:$C$265,J$4)</f>
        <v/>
      </c>
      <c r="K24" s="20">
        <f>SUMIFS('محاسبه تسهیم'!$Q$5:$Q$265,'محاسبه تسهیم'!$A$5:$A$265,$A24,'محاسبه تسهیم'!$C$5:$C$265,K$4)</f>
        <v/>
      </c>
      <c r="L24" s="20">
        <f>SUMIFS('محاسبه تسهیم'!$Q$5:$Q$265,'محاسبه تسهیم'!$A$5:$A$265,$A24,'محاسبه تسهیم'!$C$5:$C$265,L$4)</f>
        <v/>
      </c>
      <c r="M24" s="20">
        <f>SUM(D24:L24)</f>
        <v/>
      </c>
      <c r="N24" s="20">
        <f>C24-M24</f>
        <v/>
      </c>
    </row>
    <row r="25">
      <c r="A25" s="22">
        <f>'سطرهای تسهیم'!A25</f>
        <v/>
      </c>
      <c r="B25" s="22">
        <f>'سطرهای تسهیم'!C25</f>
        <v/>
      </c>
      <c r="C25" s="19">
        <f>'سطرهای تسهیم'!E25</f>
        <v/>
      </c>
      <c r="D25" s="20">
        <f>SUMIFS('محاسبه تسهیم'!$Q$5:$Q$265,'محاسبه تسهیم'!$A$5:$A$265,$A25,'محاسبه تسهیم'!$C$5:$C$265,D$4)</f>
        <v/>
      </c>
      <c r="E25" s="20">
        <f>SUMIFS('محاسبه تسهیم'!$Q$5:$Q$265,'محاسبه تسهیم'!$A$5:$A$265,$A25,'محاسبه تسهیم'!$C$5:$C$265,E$4)</f>
        <v/>
      </c>
      <c r="F25" s="20">
        <f>SUMIFS('محاسبه تسهیم'!$Q$5:$Q$265,'محاسبه تسهیم'!$A$5:$A$265,$A25,'محاسبه تسهیم'!$C$5:$C$265,F$4)</f>
        <v/>
      </c>
      <c r="G25" s="20">
        <f>SUMIFS('محاسبه تسهیم'!$Q$5:$Q$265,'محاسبه تسهیم'!$A$5:$A$265,$A25,'محاسبه تسهیم'!$C$5:$C$265,G$4)</f>
        <v/>
      </c>
      <c r="H25" s="20">
        <f>SUMIFS('محاسبه تسهیم'!$Q$5:$Q$265,'محاسبه تسهیم'!$A$5:$A$265,$A25,'محاسبه تسهیم'!$C$5:$C$265,H$4)</f>
        <v/>
      </c>
      <c r="I25" s="20">
        <f>SUMIFS('محاسبه تسهیم'!$Q$5:$Q$265,'محاسبه تسهیم'!$A$5:$A$265,$A25,'محاسبه تسهیم'!$C$5:$C$265,I$4)</f>
        <v/>
      </c>
      <c r="J25" s="20">
        <f>SUMIFS('محاسبه تسهیم'!$Q$5:$Q$265,'محاسبه تسهیم'!$A$5:$A$265,$A25,'محاسبه تسهیم'!$C$5:$C$265,J$4)</f>
        <v/>
      </c>
      <c r="K25" s="20">
        <f>SUMIFS('محاسبه تسهیم'!$Q$5:$Q$265,'محاسبه تسهیم'!$A$5:$A$265,$A25,'محاسبه تسهیم'!$C$5:$C$265,K$4)</f>
        <v/>
      </c>
      <c r="L25" s="20">
        <f>SUMIFS('محاسبه تسهیم'!$Q$5:$Q$265,'محاسبه تسهیم'!$A$5:$A$265,$A25,'محاسبه تسهیم'!$C$5:$C$265,L$4)</f>
        <v/>
      </c>
      <c r="M25" s="20">
        <f>SUM(D25:L25)</f>
        <v/>
      </c>
      <c r="N25" s="20">
        <f>C25-M25</f>
        <v/>
      </c>
    </row>
    <row r="26">
      <c r="A26" s="22">
        <f>'سطرهای تسهیم'!A26</f>
        <v/>
      </c>
      <c r="B26" s="22">
        <f>'سطرهای تسهیم'!C26</f>
        <v/>
      </c>
      <c r="C26" s="19">
        <f>'سطرهای تسهیم'!E26</f>
        <v/>
      </c>
      <c r="D26" s="20">
        <f>SUMIFS('محاسبه تسهیم'!$Q$5:$Q$265,'محاسبه تسهیم'!$A$5:$A$265,$A26,'محاسبه تسهیم'!$C$5:$C$265,D$4)</f>
        <v/>
      </c>
      <c r="E26" s="20">
        <f>SUMIFS('محاسبه تسهیم'!$Q$5:$Q$265,'محاسبه تسهیم'!$A$5:$A$265,$A26,'محاسبه تسهیم'!$C$5:$C$265,E$4)</f>
        <v/>
      </c>
      <c r="F26" s="20">
        <f>SUMIFS('محاسبه تسهیم'!$Q$5:$Q$265,'محاسبه تسهیم'!$A$5:$A$265,$A26,'محاسبه تسهیم'!$C$5:$C$265,F$4)</f>
        <v/>
      </c>
      <c r="G26" s="20">
        <f>SUMIFS('محاسبه تسهیم'!$Q$5:$Q$265,'محاسبه تسهیم'!$A$5:$A$265,$A26,'محاسبه تسهیم'!$C$5:$C$265,G$4)</f>
        <v/>
      </c>
      <c r="H26" s="20">
        <f>SUMIFS('محاسبه تسهیم'!$Q$5:$Q$265,'محاسبه تسهیم'!$A$5:$A$265,$A26,'محاسبه تسهیم'!$C$5:$C$265,H$4)</f>
        <v/>
      </c>
      <c r="I26" s="20">
        <f>SUMIFS('محاسبه تسهیم'!$Q$5:$Q$265,'محاسبه تسهیم'!$A$5:$A$265,$A26,'محاسبه تسهیم'!$C$5:$C$265,I$4)</f>
        <v/>
      </c>
      <c r="J26" s="20">
        <f>SUMIFS('محاسبه تسهیم'!$Q$5:$Q$265,'محاسبه تسهیم'!$A$5:$A$265,$A26,'محاسبه تسهیم'!$C$5:$C$265,J$4)</f>
        <v/>
      </c>
      <c r="K26" s="20">
        <f>SUMIFS('محاسبه تسهیم'!$Q$5:$Q$265,'محاسبه تسهیم'!$A$5:$A$265,$A26,'محاسبه تسهیم'!$C$5:$C$265,K$4)</f>
        <v/>
      </c>
      <c r="L26" s="20">
        <f>SUMIFS('محاسبه تسهیم'!$Q$5:$Q$265,'محاسبه تسهیم'!$A$5:$A$265,$A26,'محاسبه تسهیم'!$C$5:$C$265,L$4)</f>
        <v/>
      </c>
      <c r="M26" s="20">
        <f>SUM(D26:L26)</f>
        <v/>
      </c>
      <c r="N26" s="20">
        <f>C26-M26</f>
        <v/>
      </c>
    </row>
    <row r="27">
      <c r="A27" s="22">
        <f>'سطرهای تسهیم'!A27</f>
        <v/>
      </c>
      <c r="B27" s="22">
        <f>'سطرهای تسهیم'!C27</f>
        <v/>
      </c>
      <c r="C27" s="19">
        <f>'سطرهای تسهیم'!E27</f>
        <v/>
      </c>
      <c r="D27" s="20">
        <f>SUMIFS('محاسبه تسهیم'!$Q$5:$Q$265,'محاسبه تسهیم'!$A$5:$A$265,$A27,'محاسبه تسهیم'!$C$5:$C$265,D$4)</f>
        <v/>
      </c>
      <c r="E27" s="20">
        <f>SUMIFS('محاسبه تسهیم'!$Q$5:$Q$265,'محاسبه تسهیم'!$A$5:$A$265,$A27,'محاسبه تسهیم'!$C$5:$C$265,E$4)</f>
        <v/>
      </c>
      <c r="F27" s="20">
        <f>SUMIFS('محاسبه تسهیم'!$Q$5:$Q$265,'محاسبه تسهیم'!$A$5:$A$265,$A27,'محاسبه تسهیم'!$C$5:$C$265,F$4)</f>
        <v/>
      </c>
      <c r="G27" s="20">
        <f>SUMIFS('محاسبه تسهیم'!$Q$5:$Q$265,'محاسبه تسهیم'!$A$5:$A$265,$A27,'محاسبه تسهیم'!$C$5:$C$265,G$4)</f>
        <v/>
      </c>
      <c r="H27" s="20">
        <f>SUMIFS('محاسبه تسهیم'!$Q$5:$Q$265,'محاسبه تسهیم'!$A$5:$A$265,$A27,'محاسبه تسهیم'!$C$5:$C$265,H$4)</f>
        <v/>
      </c>
      <c r="I27" s="20">
        <f>SUMIFS('محاسبه تسهیم'!$Q$5:$Q$265,'محاسبه تسهیم'!$A$5:$A$265,$A27,'محاسبه تسهیم'!$C$5:$C$265,I$4)</f>
        <v/>
      </c>
      <c r="J27" s="20">
        <f>SUMIFS('محاسبه تسهیم'!$Q$5:$Q$265,'محاسبه تسهیم'!$A$5:$A$265,$A27,'محاسبه تسهیم'!$C$5:$C$265,J$4)</f>
        <v/>
      </c>
      <c r="K27" s="20">
        <f>SUMIFS('محاسبه تسهیم'!$Q$5:$Q$265,'محاسبه تسهیم'!$A$5:$A$265,$A27,'محاسبه تسهیم'!$C$5:$C$265,K$4)</f>
        <v/>
      </c>
      <c r="L27" s="20">
        <f>SUMIFS('محاسبه تسهیم'!$Q$5:$Q$265,'محاسبه تسهیم'!$A$5:$A$265,$A27,'محاسبه تسهیم'!$C$5:$C$265,L$4)</f>
        <v/>
      </c>
      <c r="M27" s="20">
        <f>SUM(D27:L27)</f>
        <v/>
      </c>
      <c r="N27" s="20">
        <f>C27-M27</f>
        <v/>
      </c>
    </row>
    <row r="28">
      <c r="A28" s="22">
        <f>'سطرهای تسهیم'!A28</f>
        <v/>
      </c>
      <c r="B28" s="22">
        <f>'سطرهای تسهیم'!C28</f>
        <v/>
      </c>
      <c r="C28" s="19">
        <f>'سطرهای تسهیم'!E28</f>
        <v/>
      </c>
      <c r="D28" s="20">
        <f>SUMIFS('محاسبه تسهیم'!$Q$5:$Q$265,'محاسبه تسهیم'!$A$5:$A$265,$A28,'محاسبه تسهیم'!$C$5:$C$265,D$4)</f>
        <v/>
      </c>
      <c r="E28" s="20">
        <f>SUMIFS('محاسبه تسهیم'!$Q$5:$Q$265,'محاسبه تسهیم'!$A$5:$A$265,$A28,'محاسبه تسهیم'!$C$5:$C$265,E$4)</f>
        <v/>
      </c>
      <c r="F28" s="20">
        <f>SUMIFS('محاسبه تسهیم'!$Q$5:$Q$265,'محاسبه تسهیم'!$A$5:$A$265,$A28,'محاسبه تسهیم'!$C$5:$C$265,F$4)</f>
        <v/>
      </c>
      <c r="G28" s="20">
        <f>SUMIFS('محاسبه تسهیم'!$Q$5:$Q$265,'محاسبه تسهیم'!$A$5:$A$265,$A28,'محاسبه تسهیم'!$C$5:$C$265,G$4)</f>
        <v/>
      </c>
      <c r="H28" s="20">
        <f>SUMIFS('محاسبه تسهیم'!$Q$5:$Q$265,'محاسبه تسهیم'!$A$5:$A$265,$A28,'محاسبه تسهیم'!$C$5:$C$265,H$4)</f>
        <v/>
      </c>
      <c r="I28" s="20">
        <f>SUMIFS('محاسبه تسهیم'!$Q$5:$Q$265,'محاسبه تسهیم'!$A$5:$A$265,$A28,'محاسبه تسهیم'!$C$5:$C$265,I$4)</f>
        <v/>
      </c>
      <c r="J28" s="20">
        <f>SUMIFS('محاسبه تسهیم'!$Q$5:$Q$265,'محاسبه تسهیم'!$A$5:$A$265,$A28,'محاسبه تسهیم'!$C$5:$C$265,J$4)</f>
        <v/>
      </c>
      <c r="K28" s="20">
        <f>SUMIFS('محاسبه تسهیم'!$Q$5:$Q$265,'محاسبه تسهیم'!$A$5:$A$265,$A28,'محاسبه تسهیم'!$C$5:$C$265,K$4)</f>
        <v/>
      </c>
      <c r="L28" s="20">
        <f>SUMIFS('محاسبه تسهیم'!$Q$5:$Q$265,'محاسبه تسهیم'!$A$5:$A$265,$A28,'محاسبه تسهیم'!$C$5:$C$265,L$4)</f>
        <v/>
      </c>
      <c r="M28" s="20">
        <f>SUM(D28:L28)</f>
        <v/>
      </c>
      <c r="N28" s="20">
        <f>C28-M28</f>
        <v/>
      </c>
    </row>
    <row r="29">
      <c r="A29" s="22">
        <f>'سطرهای تسهیم'!A29</f>
        <v/>
      </c>
      <c r="B29" s="22">
        <f>'سطرهای تسهیم'!C29</f>
        <v/>
      </c>
      <c r="C29" s="19">
        <f>'سطرهای تسهیم'!E29</f>
        <v/>
      </c>
      <c r="D29" s="20">
        <f>SUMIFS('محاسبه تسهیم'!$Q$5:$Q$265,'محاسبه تسهیم'!$A$5:$A$265,$A29,'محاسبه تسهیم'!$C$5:$C$265,D$4)</f>
        <v/>
      </c>
      <c r="E29" s="20">
        <f>SUMIFS('محاسبه تسهیم'!$Q$5:$Q$265,'محاسبه تسهیم'!$A$5:$A$265,$A29,'محاسبه تسهیم'!$C$5:$C$265,E$4)</f>
        <v/>
      </c>
      <c r="F29" s="20">
        <f>SUMIFS('محاسبه تسهیم'!$Q$5:$Q$265,'محاسبه تسهیم'!$A$5:$A$265,$A29,'محاسبه تسهیم'!$C$5:$C$265,F$4)</f>
        <v/>
      </c>
      <c r="G29" s="20">
        <f>SUMIFS('محاسبه تسهیم'!$Q$5:$Q$265,'محاسبه تسهیم'!$A$5:$A$265,$A29,'محاسبه تسهیم'!$C$5:$C$265,G$4)</f>
        <v/>
      </c>
      <c r="H29" s="20">
        <f>SUMIFS('محاسبه تسهیم'!$Q$5:$Q$265,'محاسبه تسهیم'!$A$5:$A$265,$A29,'محاسبه تسهیم'!$C$5:$C$265,H$4)</f>
        <v/>
      </c>
      <c r="I29" s="20">
        <f>SUMIFS('محاسبه تسهیم'!$Q$5:$Q$265,'محاسبه تسهیم'!$A$5:$A$265,$A29,'محاسبه تسهیم'!$C$5:$C$265,I$4)</f>
        <v/>
      </c>
      <c r="J29" s="20">
        <f>SUMIFS('محاسبه تسهیم'!$Q$5:$Q$265,'محاسبه تسهیم'!$A$5:$A$265,$A29,'محاسبه تسهیم'!$C$5:$C$265,J$4)</f>
        <v/>
      </c>
      <c r="K29" s="20">
        <f>SUMIFS('محاسبه تسهیم'!$Q$5:$Q$265,'محاسبه تسهیم'!$A$5:$A$265,$A29,'محاسبه تسهیم'!$C$5:$C$265,K$4)</f>
        <v/>
      </c>
      <c r="L29" s="20">
        <f>SUMIFS('محاسبه تسهیم'!$Q$5:$Q$265,'محاسبه تسهیم'!$A$5:$A$265,$A29,'محاسبه تسهیم'!$C$5:$C$265,L$4)</f>
        <v/>
      </c>
      <c r="M29" s="20">
        <f>SUM(D29:L29)</f>
        <v/>
      </c>
      <c r="N29" s="20">
        <f>C29-M29</f>
        <v/>
      </c>
    </row>
    <row r="30">
      <c r="A30" s="22">
        <f>'سطرهای تسهیم'!A30</f>
        <v/>
      </c>
      <c r="B30" s="22">
        <f>'سطرهای تسهیم'!C30</f>
        <v/>
      </c>
      <c r="C30" s="19">
        <f>'سطرهای تسهیم'!E30</f>
        <v/>
      </c>
      <c r="D30" s="20">
        <f>SUMIFS('محاسبه تسهیم'!$Q$5:$Q$265,'محاسبه تسهیم'!$A$5:$A$265,$A30,'محاسبه تسهیم'!$C$5:$C$265,D$4)</f>
        <v/>
      </c>
      <c r="E30" s="20">
        <f>SUMIFS('محاسبه تسهیم'!$Q$5:$Q$265,'محاسبه تسهیم'!$A$5:$A$265,$A30,'محاسبه تسهیم'!$C$5:$C$265,E$4)</f>
        <v/>
      </c>
      <c r="F30" s="20">
        <f>SUMIFS('محاسبه تسهیم'!$Q$5:$Q$265,'محاسبه تسهیم'!$A$5:$A$265,$A30,'محاسبه تسهیم'!$C$5:$C$265,F$4)</f>
        <v/>
      </c>
      <c r="G30" s="20">
        <f>SUMIFS('محاسبه تسهیم'!$Q$5:$Q$265,'محاسبه تسهیم'!$A$5:$A$265,$A30,'محاسبه تسهیم'!$C$5:$C$265,G$4)</f>
        <v/>
      </c>
      <c r="H30" s="20">
        <f>SUMIFS('محاسبه تسهیم'!$Q$5:$Q$265,'محاسبه تسهیم'!$A$5:$A$265,$A30,'محاسبه تسهیم'!$C$5:$C$265,H$4)</f>
        <v/>
      </c>
      <c r="I30" s="20">
        <f>SUMIFS('محاسبه تسهیم'!$Q$5:$Q$265,'محاسبه تسهیم'!$A$5:$A$265,$A30,'محاسبه تسهیم'!$C$5:$C$265,I$4)</f>
        <v/>
      </c>
      <c r="J30" s="20">
        <f>SUMIFS('محاسبه تسهیم'!$Q$5:$Q$265,'محاسبه تسهیم'!$A$5:$A$265,$A30,'محاسبه تسهیم'!$C$5:$C$265,J$4)</f>
        <v/>
      </c>
      <c r="K30" s="20">
        <f>SUMIFS('محاسبه تسهیم'!$Q$5:$Q$265,'محاسبه تسهیم'!$A$5:$A$265,$A30,'محاسبه تسهیم'!$C$5:$C$265,K$4)</f>
        <v/>
      </c>
      <c r="L30" s="20">
        <f>SUMIFS('محاسبه تسهیم'!$Q$5:$Q$265,'محاسبه تسهیم'!$A$5:$A$265,$A30,'محاسبه تسهیم'!$C$5:$C$265,L$4)</f>
        <v/>
      </c>
      <c r="M30" s="20">
        <f>SUM(D30:L30)</f>
        <v/>
      </c>
      <c r="N30" s="20">
        <f>C30-M30</f>
        <v/>
      </c>
    </row>
    <row r="31">
      <c r="A31" s="22">
        <f>'سطرهای تسهیم'!A31</f>
        <v/>
      </c>
      <c r="B31" s="22">
        <f>'سطرهای تسهیم'!C31</f>
        <v/>
      </c>
      <c r="C31" s="19">
        <f>'سطرهای تسهیم'!E31</f>
        <v/>
      </c>
      <c r="D31" s="20">
        <f>SUMIFS('محاسبه تسهیم'!$Q$5:$Q$265,'محاسبه تسهیم'!$A$5:$A$265,$A31,'محاسبه تسهیم'!$C$5:$C$265,D$4)</f>
        <v/>
      </c>
      <c r="E31" s="20">
        <f>SUMIFS('محاسبه تسهیم'!$Q$5:$Q$265,'محاسبه تسهیم'!$A$5:$A$265,$A31,'محاسبه تسهیم'!$C$5:$C$265,E$4)</f>
        <v/>
      </c>
      <c r="F31" s="20">
        <f>SUMIFS('محاسبه تسهیم'!$Q$5:$Q$265,'محاسبه تسهیم'!$A$5:$A$265,$A31,'محاسبه تسهیم'!$C$5:$C$265,F$4)</f>
        <v/>
      </c>
      <c r="G31" s="20">
        <f>SUMIFS('محاسبه تسهیم'!$Q$5:$Q$265,'محاسبه تسهیم'!$A$5:$A$265,$A31,'محاسبه تسهیم'!$C$5:$C$265,G$4)</f>
        <v/>
      </c>
      <c r="H31" s="20">
        <f>SUMIFS('محاسبه تسهیم'!$Q$5:$Q$265,'محاسبه تسهیم'!$A$5:$A$265,$A31,'محاسبه تسهیم'!$C$5:$C$265,H$4)</f>
        <v/>
      </c>
      <c r="I31" s="20">
        <f>SUMIFS('محاسبه تسهیم'!$Q$5:$Q$265,'محاسبه تسهیم'!$A$5:$A$265,$A31,'محاسبه تسهیم'!$C$5:$C$265,I$4)</f>
        <v/>
      </c>
      <c r="J31" s="20">
        <f>SUMIFS('محاسبه تسهیم'!$Q$5:$Q$265,'محاسبه تسهیم'!$A$5:$A$265,$A31,'محاسبه تسهیم'!$C$5:$C$265,J$4)</f>
        <v/>
      </c>
      <c r="K31" s="20">
        <f>SUMIFS('محاسبه تسهیم'!$Q$5:$Q$265,'محاسبه تسهیم'!$A$5:$A$265,$A31,'محاسبه تسهیم'!$C$5:$C$265,K$4)</f>
        <v/>
      </c>
      <c r="L31" s="20">
        <f>SUMIFS('محاسبه تسهیم'!$Q$5:$Q$265,'محاسبه تسهیم'!$A$5:$A$265,$A31,'محاسبه تسهیم'!$C$5:$C$265,L$4)</f>
        <v/>
      </c>
      <c r="M31" s="20">
        <f>SUM(D31:L31)</f>
        <v/>
      </c>
      <c r="N31" s="20">
        <f>C31-M31</f>
        <v/>
      </c>
    </row>
    <row r="32">
      <c r="A32" s="22">
        <f>'سطرهای تسهیم'!A32</f>
        <v/>
      </c>
      <c r="B32" s="22">
        <f>'سطرهای تسهیم'!C32</f>
        <v/>
      </c>
      <c r="C32" s="19">
        <f>'سطرهای تسهیم'!E32</f>
        <v/>
      </c>
      <c r="D32" s="20">
        <f>SUMIFS('محاسبه تسهیم'!$Q$5:$Q$265,'محاسبه تسهیم'!$A$5:$A$265,$A32,'محاسبه تسهیم'!$C$5:$C$265,D$4)</f>
        <v/>
      </c>
      <c r="E32" s="20">
        <f>SUMIFS('محاسبه تسهیم'!$Q$5:$Q$265,'محاسبه تسهیم'!$A$5:$A$265,$A32,'محاسبه تسهیم'!$C$5:$C$265,E$4)</f>
        <v/>
      </c>
      <c r="F32" s="20">
        <f>SUMIFS('محاسبه تسهیم'!$Q$5:$Q$265,'محاسبه تسهیم'!$A$5:$A$265,$A32,'محاسبه تسهیم'!$C$5:$C$265,F$4)</f>
        <v/>
      </c>
      <c r="G32" s="20">
        <f>SUMIFS('محاسبه تسهیم'!$Q$5:$Q$265,'محاسبه تسهیم'!$A$5:$A$265,$A32,'محاسبه تسهیم'!$C$5:$C$265,G$4)</f>
        <v/>
      </c>
      <c r="H32" s="20">
        <f>SUMIFS('محاسبه تسهیم'!$Q$5:$Q$265,'محاسبه تسهیم'!$A$5:$A$265,$A32,'محاسبه تسهیم'!$C$5:$C$265,H$4)</f>
        <v/>
      </c>
      <c r="I32" s="20">
        <f>SUMIFS('محاسبه تسهیم'!$Q$5:$Q$265,'محاسبه تسهیم'!$A$5:$A$265,$A32,'محاسبه تسهیم'!$C$5:$C$265,I$4)</f>
        <v/>
      </c>
      <c r="J32" s="20">
        <f>SUMIFS('محاسبه تسهیم'!$Q$5:$Q$265,'محاسبه تسهیم'!$A$5:$A$265,$A32,'محاسبه تسهیم'!$C$5:$C$265,J$4)</f>
        <v/>
      </c>
      <c r="K32" s="20">
        <f>SUMIFS('محاسبه تسهیم'!$Q$5:$Q$265,'محاسبه تسهیم'!$A$5:$A$265,$A32,'محاسبه تسهیم'!$C$5:$C$265,K$4)</f>
        <v/>
      </c>
      <c r="L32" s="20">
        <f>SUMIFS('محاسبه تسهیم'!$Q$5:$Q$265,'محاسبه تسهیم'!$A$5:$A$265,$A32,'محاسبه تسهیم'!$C$5:$C$265,L$4)</f>
        <v/>
      </c>
      <c r="M32" s="20">
        <f>SUM(D32:L32)</f>
        <v/>
      </c>
      <c r="N32" s="20">
        <f>C32-M32</f>
        <v/>
      </c>
    </row>
    <row r="33">
      <c r="A33" s="22">
        <f>'سطرهای تسهیم'!A33</f>
        <v/>
      </c>
      <c r="B33" s="22">
        <f>'سطرهای تسهیم'!C33</f>
        <v/>
      </c>
      <c r="C33" s="19">
        <f>'سطرهای تسهیم'!E33</f>
        <v/>
      </c>
      <c r="D33" s="20">
        <f>SUMIFS('محاسبه تسهیم'!$Q$5:$Q$265,'محاسبه تسهیم'!$A$5:$A$265,$A33,'محاسبه تسهیم'!$C$5:$C$265,D$4)</f>
        <v/>
      </c>
      <c r="E33" s="20">
        <f>SUMIFS('محاسبه تسهیم'!$Q$5:$Q$265,'محاسبه تسهیم'!$A$5:$A$265,$A33,'محاسبه تسهیم'!$C$5:$C$265,E$4)</f>
        <v/>
      </c>
      <c r="F33" s="20">
        <f>SUMIFS('محاسبه تسهیم'!$Q$5:$Q$265,'محاسبه تسهیم'!$A$5:$A$265,$A33,'محاسبه تسهیم'!$C$5:$C$265,F$4)</f>
        <v/>
      </c>
      <c r="G33" s="20">
        <f>SUMIFS('محاسبه تسهیم'!$Q$5:$Q$265,'محاسبه تسهیم'!$A$5:$A$265,$A33,'محاسبه تسهیم'!$C$5:$C$265,G$4)</f>
        <v/>
      </c>
      <c r="H33" s="20">
        <f>SUMIFS('محاسبه تسهیم'!$Q$5:$Q$265,'محاسبه تسهیم'!$A$5:$A$265,$A33,'محاسبه تسهیم'!$C$5:$C$265,H$4)</f>
        <v/>
      </c>
      <c r="I33" s="20">
        <f>SUMIFS('محاسبه تسهیم'!$Q$5:$Q$265,'محاسبه تسهیم'!$A$5:$A$265,$A33,'محاسبه تسهیم'!$C$5:$C$265,I$4)</f>
        <v/>
      </c>
      <c r="J33" s="20">
        <f>SUMIFS('محاسبه تسهیم'!$Q$5:$Q$265,'محاسبه تسهیم'!$A$5:$A$265,$A33,'محاسبه تسهیم'!$C$5:$C$265,J$4)</f>
        <v/>
      </c>
      <c r="K33" s="20">
        <f>SUMIFS('محاسبه تسهیم'!$Q$5:$Q$265,'محاسبه تسهیم'!$A$5:$A$265,$A33,'محاسبه تسهیم'!$C$5:$C$265,K$4)</f>
        <v/>
      </c>
      <c r="L33" s="20">
        <f>SUMIFS('محاسبه تسهیم'!$Q$5:$Q$265,'محاسبه تسهیم'!$A$5:$A$265,$A33,'محاسبه تسهیم'!$C$5:$C$265,L$4)</f>
        <v/>
      </c>
      <c r="M33" s="20">
        <f>SUM(D33:L33)</f>
        <v/>
      </c>
      <c r="N33" s="20">
        <f>C33-M33</f>
        <v/>
      </c>
    </row>
    <row r="34">
      <c r="B34" t="inlineStr">
        <is>
          <t>جمع</t>
        </is>
      </c>
      <c r="C34" s="20">
        <f>SUM(C5:C33)</f>
        <v/>
      </c>
      <c r="D34" s="20">
        <f>SUM(D5:D33)</f>
        <v/>
      </c>
      <c r="E34" s="20">
        <f>SUM(E5:E33)</f>
        <v/>
      </c>
      <c r="F34" s="20">
        <f>SUM(F5:F33)</f>
        <v/>
      </c>
      <c r="G34" s="20">
        <f>SUM(G5:G33)</f>
        <v/>
      </c>
      <c r="H34" s="20">
        <f>SUM(H5:H33)</f>
        <v/>
      </c>
      <c r="I34" s="20">
        <f>SUM(I5:I33)</f>
        <v/>
      </c>
      <c r="J34" s="20">
        <f>SUM(J5:J33)</f>
        <v/>
      </c>
      <c r="K34" s="20">
        <f>SUM(K5:K33)</f>
        <v/>
      </c>
      <c r="L34" s="20">
        <f>SUM(L5:L33)</f>
        <v/>
      </c>
      <c r="M34" s="20">
        <f>SUM(M5:M33)</f>
        <v/>
      </c>
      <c r="N34" s="20">
        <f>SUM(N5:N33)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مانده‌های افتتاحیه (ساختگی)</t>
        </is>
      </c>
    </row>
    <row r="2">
      <c r="A2" s="8" t="inlineStr">
        <is>
          <t>مانده واحد: مثبت = بدهکار، منفی = بستانکار.</t>
        </is>
      </c>
    </row>
    <row r="4" ht="32" customHeight="1">
      <c r="A4" s="5" t="inlineStr">
        <is>
          <t>عنوان</t>
        </is>
      </c>
      <c r="B4" s="5" t="inlineStr">
        <is>
          <t>مبلغ (ریال)</t>
        </is>
      </c>
    </row>
    <row r="5">
      <c r="A5" t="inlineStr">
        <is>
          <t>موجودی نقد افتتاحیه</t>
        </is>
      </c>
      <c r="B5" s="18" t="n">
        <v>60000000</v>
      </c>
    </row>
    <row r="6">
      <c r="A6" t="inlineStr">
        <is>
          <t>مانده افتتاحیه صندوق اندوخته</t>
        </is>
      </c>
      <c r="B6" s="18" t="n">
        <v>40000000</v>
      </c>
    </row>
    <row r="7">
      <c r="A7" t="inlineStr">
        <is>
          <t>بدهی افتتاحیه به تامین‌کنندگان</t>
        </is>
      </c>
      <c r="B7" s="18" t="n">
        <v>0</v>
      </c>
    </row>
    <row r="8">
      <c r="A8" t="inlineStr">
        <is>
          <t>مانده افتتاحیه صندوق عملیاتی (محاسبه‌شده)</t>
        </is>
      </c>
      <c r="B8" s="20">
        <f>B5+SUM(B11:B19)-B7-B6</f>
        <v/>
      </c>
    </row>
    <row r="10">
      <c r="A10" s="13" t="inlineStr">
        <is>
          <t>مانده افتتاحیه واحدها</t>
        </is>
      </c>
    </row>
    <row r="11">
      <c r="A11" s="22">
        <f>'واحدها'!A5</f>
        <v/>
      </c>
      <c r="B11" s="18" t="n">
        <v>0</v>
      </c>
    </row>
    <row r="12">
      <c r="A12" s="22">
        <f>'واحدها'!A6</f>
        <v/>
      </c>
      <c r="B12" s="18" t="n">
        <v>1200000</v>
      </c>
    </row>
    <row r="13">
      <c r="A13" s="22">
        <f>'واحدها'!A7</f>
        <v/>
      </c>
      <c r="B13" s="18" t="n">
        <v>0</v>
      </c>
    </row>
    <row r="14">
      <c r="A14" s="22">
        <f>'واحدها'!A8</f>
        <v/>
      </c>
      <c r="B14" s="18" t="n">
        <v>0</v>
      </c>
    </row>
    <row r="15">
      <c r="A15" s="22">
        <f>'واحدها'!A9</f>
        <v/>
      </c>
      <c r="B15" s="18" t="n">
        <v>0</v>
      </c>
    </row>
    <row r="16">
      <c r="A16" s="22">
        <f>'واحدها'!A10</f>
        <v/>
      </c>
      <c r="B16" s="18" t="n">
        <v>-500000</v>
      </c>
    </row>
    <row r="17">
      <c r="A17" s="22">
        <f>'واحدها'!A11</f>
        <v/>
      </c>
      <c r="B17" s="18" t="n">
        <v>0</v>
      </c>
    </row>
    <row r="18">
      <c r="A18" s="22">
        <f>'واحدها'!A12</f>
        <v/>
      </c>
      <c r="B18" s="18" t="n">
        <v>0</v>
      </c>
    </row>
    <row r="19">
      <c r="A19" s="22">
        <f>'واحدها'!A13</f>
        <v/>
      </c>
      <c r="B19" s="18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>
      <c r="A1" s="1" t="inlineStr">
        <is>
          <t>دریافت از واحدها (کاهش بدهی واحد — درآمد نیست)</t>
        </is>
      </c>
    </row>
    <row r="4" ht="32" customHeight="1">
      <c r="A4" s="5" t="inlineStr">
        <is>
          <t>تاریخ</t>
        </is>
      </c>
      <c r="B4" s="5" t="inlineStr">
        <is>
          <t>واحد</t>
        </is>
      </c>
      <c r="C4" s="5" t="inlineStr">
        <is>
          <t>مبلغ (ریال)</t>
        </is>
      </c>
      <c r="D4" s="5" t="inlineStr">
        <is>
          <t>روش</t>
        </is>
      </c>
      <c r="E4" s="5" t="inlineStr">
        <is>
          <t>مرجع</t>
        </is>
      </c>
      <c r="F4" s="5" t="inlineStr">
        <is>
          <t>یادداشت</t>
        </is>
      </c>
    </row>
    <row r="5">
      <c r="A5" s="3" t="inlineStr">
        <is>
          <t>1405/07/25</t>
        </is>
      </c>
      <c r="B5" s="3" t="inlineStr">
        <is>
          <t>1-1</t>
        </is>
      </c>
      <c r="C5" s="18" t="n">
        <v>3000000</v>
      </c>
      <c r="D5" s="3" t="inlineStr">
        <is>
          <t>کارت به کارت</t>
        </is>
      </c>
      <c r="E5" s="3" t="inlineStr">
        <is>
          <t>S-001</t>
        </is>
      </c>
      <c r="F5" s="3" t="n"/>
    </row>
    <row r="6">
      <c r="A6" s="3" t="inlineStr">
        <is>
          <t>1405/07/26</t>
        </is>
      </c>
      <c r="B6" s="3" t="inlineStr">
        <is>
          <t>1-2</t>
        </is>
      </c>
      <c r="C6" s="18" t="n">
        <v>2000000</v>
      </c>
      <c r="D6" s="3" t="inlineStr">
        <is>
          <t>نقد</t>
        </is>
      </c>
      <c r="E6" s="3" t="inlineStr">
        <is>
          <t>S-002</t>
        </is>
      </c>
      <c r="F6" s="3" t="n"/>
    </row>
    <row r="7">
      <c r="A7" s="3" t="inlineStr">
        <is>
          <t>1405/07/26</t>
        </is>
      </c>
      <c r="B7" s="3" t="inlineStr">
        <is>
          <t>2-1</t>
        </is>
      </c>
      <c r="C7" s="18" t="n">
        <v>9000000</v>
      </c>
      <c r="D7" s="3" t="inlineStr">
        <is>
          <t>واریز بانکی</t>
        </is>
      </c>
      <c r="E7" s="3" t="inlineStr">
        <is>
          <t>S-003</t>
        </is>
      </c>
      <c r="F7" s="3" t="n"/>
    </row>
    <row r="8">
      <c r="A8" s="3" t="inlineStr">
        <is>
          <t>1405/07/27</t>
        </is>
      </c>
      <c r="B8" s="3" t="inlineStr">
        <is>
          <t>2-2</t>
        </is>
      </c>
      <c r="C8" s="18" t="n">
        <v>4500000</v>
      </c>
      <c r="D8" s="3" t="inlineStr">
        <is>
          <t>کارت به کارت</t>
        </is>
      </c>
      <c r="E8" s="3" t="inlineStr">
        <is>
          <t>S-004</t>
        </is>
      </c>
      <c r="F8" s="3" t="n"/>
    </row>
    <row r="9">
      <c r="A9" s="3" t="inlineStr">
        <is>
          <t>1405/07/27</t>
        </is>
      </c>
      <c r="B9" s="3" t="inlineStr">
        <is>
          <t>3-1</t>
        </is>
      </c>
      <c r="C9" s="18" t="n">
        <v>10000000</v>
      </c>
      <c r="D9" s="3" t="inlineStr">
        <is>
          <t>واریز بانکی</t>
        </is>
      </c>
      <c r="E9" s="3" t="inlineStr">
        <is>
          <t>S-005</t>
        </is>
      </c>
      <c r="F9" s="3" t="n"/>
    </row>
    <row r="10">
      <c r="A10" s="3" t="inlineStr">
        <is>
          <t>1405/07/28</t>
        </is>
      </c>
      <c r="B10" s="3" t="inlineStr">
        <is>
          <t>3-2</t>
        </is>
      </c>
      <c r="C10" s="18" t="n">
        <v>4000000</v>
      </c>
      <c r="D10" s="3" t="inlineStr">
        <is>
          <t>نقد</t>
        </is>
      </c>
      <c r="E10" s="3" t="inlineStr">
        <is>
          <t>S-006</t>
        </is>
      </c>
      <c r="F10" s="3" t="n"/>
    </row>
    <row r="11">
      <c r="A11" s="3" t="inlineStr">
        <is>
          <t>1405/07/29</t>
        </is>
      </c>
      <c r="B11" s="3" t="inlineStr">
        <is>
          <t>4-1</t>
        </is>
      </c>
      <c r="C11" s="18" t="n">
        <v>5000000</v>
      </c>
      <c r="D11" s="3" t="inlineStr">
        <is>
          <t>کارت به کارت</t>
        </is>
      </c>
      <c r="E11" s="3" t="inlineStr">
        <is>
          <t>S-007</t>
        </is>
      </c>
      <c r="F11" s="3" t="n"/>
    </row>
    <row r="12">
      <c r="A12" s="3" t="inlineStr">
        <is>
          <t>1405/07/30</t>
        </is>
      </c>
      <c r="B12" s="3" t="inlineStr">
        <is>
          <t>4-2</t>
        </is>
      </c>
      <c r="C12" s="18" t="n">
        <v>4600000</v>
      </c>
      <c r="D12" s="3" t="inlineStr">
        <is>
          <t>واریز بانکی</t>
        </is>
      </c>
      <c r="E12" s="3" t="inlineStr">
        <is>
          <t>S-008</t>
        </is>
      </c>
      <c r="F12" s="3" t="n"/>
    </row>
    <row r="13">
      <c r="A13" s="3" t="n"/>
      <c r="B13" s="3" t="n"/>
      <c r="C13" s="18" t="n"/>
      <c r="D13" s="3" t="n"/>
      <c r="E13" s="3" t="n"/>
      <c r="F13" s="3" t="n"/>
    </row>
    <row r="14">
      <c r="A14" s="3" t="n"/>
      <c r="B14" s="3" t="n"/>
      <c r="C14" s="18" t="n"/>
      <c r="D14" s="3" t="n"/>
      <c r="E14" s="3" t="n"/>
      <c r="F14" s="3" t="n"/>
    </row>
    <row r="15">
      <c r="A15" s="3" t="n"/>
      <c r="B15" s="3" t="n"/>
      <c r="C15" s="18" t="n"/>
      <c r="D15" s="3" t="n"/>
      <c r="E15" s="3" t="n"/>
      <c r="F15" s="3" t="n"/>
    </row>
    <row r="16">
      <c r="A16" s="3" t="n"/>
      <c r="B16" s="3" t="n"/>
      <c r="C16" s="18" t="n"/>
      <c r="D16" s="3" t="n"/>
      <c r="E16" s="3" t="n"/>
      <c r="F16" s="3" t="n"/>
    </row>
    <row r="17">
      <c r="A17" s="3" t="n"/>
      <c r="B17" s="3" t="n"/>
      <c r="C17" s="18" t="n"/>
      <c r="D17" s="3" t="n"/>
      <c r="E17" s="3" t="n"/>
      <c r="F17" s="3" t="n"/>
    </row>
    <row r="18">
      <c r="A18" s="3" t="n"/>
      <c r="B18" s="3" t="n"/>
      <c r="C18" s="18" t="n"/>
      <c r="D18" s="3" t="n"/>
      <c r="E18" s="3" t="n"/>
      <c r="F18" s="3" t="n"/>
    </row>
    <row r="19">
      <c r="A19" s="3" t="n"/>
      <c r="B19" s="3" t="n"/>
      <c r="C19" s="18" t="n"/>
      <c r="D19" s="3" t="n"/>
      <c r="E19" s="3" t="n"/>
      <c r="F19" s="3" t="n"/>
    </row>
    <row r="20">
      <c r="A20" s="3" t="n"/>
      <c r="B20" s="3" t="n"/>
      <c r="C20" s="18" t="n"/>
      <c r="D20" s="3" t="n"/>
      <c r="E20" s="3" t="n"/>
      <c r="F20" s="3" t="n"/>
    </row>
    <row r="21">
      <c r="A21" s="3" t="n"/>
      <c r="B21" s="3" t="n"/>
      <c r="C21" s="18" t="n"/>
      <c r="D21" s="3" t="n"/>
      <c r="E21" s="3" t="n"/>
      <c r="F21" s="3" t="n"/>
    </row>
    <row r="22">
      <c r="A22" s="3" t="n"/>
      <c r="B22" s="3" t="n"/>
      <c r="C22" s="18" t="n"/>
      <c r="D22" s="3" t="n"/>
      <c r="E22" s="3" t="n"/>
      <c r="F22" s="3" t="n"/>
    </row>
    <row r="23">
      <c r="A23" s="3" t="n"/>
      <c r="B23" s="3" t="n"/>
      <c r="C23" s="18" t="n"/>
      <c r="D23" s="3" t="n"/>
      <c r="E23" s="3" t="n"/>
      <c r="F23" s="3" t="n"/>
    </row>
    <row r="24">
      <c r="A24" s="3" t="n"/>
      <c r="B24" s="3" t="n"/>
      <c r="C24" s="18" t="n"/>
      <c r="D24" s="3" t="n"/>
      <c r="E24" s="3" t="n"/>
      <c r="F24" s="3" t="n"/>
    </row>
    <row r="25">
      <c r="A25" s="3" t="n"/>
      <c r="B25" s="3" t="n"/>
      <c r="C25" s="18" t="n"/>
      <c r="D25" s="3" t="n"/>
      <c r="E25" s="3" t="n"/>
      <c r="F25" s="3" t="n"/>
    </row>
    <row r="26">
      <c r="A26" s="3" t="n"/>
      <c r="B26" s="3" t="n"/>
      <c r="C26" s="18" t="n"/>
      <c r="D26" s="3" t="n"/>
      <c r="E26" s="3" t="n"/>
      <c r="F26" s="3" t="n"/>
    </row>
    <row r="27">
      <c r="A27" s="3" t="n"/>
      <c r="B27" s="3" t="n"/>
      <c r="C27" s="18" t="n"/>
      <c r="D27" s="3" t="n"/>
      <c r="E27" s="3" t="n"/>
      <c r="F27" s="3" t="n"/>
    </row>
    <row r="28">
      <c r="A28" s="3" t="n"/>
      <c r="B28" s="3" t="n"/>
      <c r="C28" s="18" t="n"/>
      <c r="D28" s="3" t="n"/>
      <c r="E28" s="3" t="n"/>
      <c r="F28" s="3" t="n"/>
    </row>
    <row r="29">
      <c r="A29" s="3" t="n"/>
      <c r="B29" s="3" t="n"/>
      <c r="C29" s="18" t="n"/>
      <c r="D29" s="3" t="n"/>
      <c r="E29" s="3" t="n"/>
      <c r="F29" s="3" t="n"/>
    </row>
    <row r="30">
      <c r="A30" s="3" t="n"/>
      <c r="B30" s="3" t="n"/>
      <c r="C30" s="18" t="n"/>
      <c r="D30" s="3" t="n"/>
      <c r="E30" s="3" t="n"/>
      <c r="F30" s="3" t="n"/>
    </row>
    <row r="31">
      <c r="A31" s="3" t="n"/>
      <c r="B31" s="3" t="n"/>
      <c r="C31" s="18" t="n"/>
      <c r="D31" s="3" t="n"/>
      <c r="E31" s="3" t="n"/>
      <c r="F31" s="3" t="n"/>
    </row>
    <row r="32">
      <c r="A32" s="3" t="n"/>
      <c r="B32" s="3" t="n"/>
      <c r="C32" s="18" t="n"/>
      <c r="D32" s="3" t="n"/>
      <c r="E32" s="3" t="n"/>
      <c r="F32" s="3" t="n"/>
    </row>
    <row r="33">
      <c r="A33" s="3" t="n"/>
      <c r="B33" s="3" t="n"/>
      <c r="C33" s="18" t="n"/>
      <c r="D33" s="3" t="n"/>
      <c r="E33" s="3" t="n"/>
      <c r="F33" s="3" t="n"/>
    </row>
    <row r="34">
      <c r="A34" s="3" t="n"/>
      <c r="B34" s="3" t="n"/>
      <c r="C34" s="18" t="n"/>
      <c r="D34" s="3" t="n"/>
      <c r="E34" s="3" t="n"/>
      <c r="F34" s="3" t="n"/>
    </row>
  </sheetData>
  <dataValidations count="3">
    <dataValidation sqref="B5:B34" showDropDown="0" showInputMessage="0" showErrorMessage="1" allowBlank="1" errorTitle="مقدار نامعتبر" error="لطفاً از فهرست انتخاب کنید." type="list">
      <formula1>'واحدها'!$A$5:$A$13</formula1>
    </dataValidation>
    <dataValidation sqref="D5:D34" showDropDown="0" showInputMessage="0" showErrorMessage="1" allowBlank="1" errorTitle="مقدار نامعتبر" error="لطفاً از فهرست انتخاب کنید." type="list">
      <formula1>'فهرست‌ها'!$M$4:$M$7</formula1>
    </dataValidation>
    <dataValidation sqref="C5:C34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0" customWidth="1" min="5" max="5"/>
  </cols>
  <sheetData>
    <row r="1">
      <c r="A1" s="1" t="inlineStr">
        <is>
          <t>پرداخت به تامین‌کنندگان (تسویه بدهی هزینه)</t>
        </is>
      </c>
    </row>
    <row r="2">
      <c r="A2" s="8" t="inlineStr">
        <is>
          <t>پرداخت جزئی مجاز است؛ مانده در برگه هزینه‌ها دیده می‌شود.</t>
        </is>
      </c>
    </row>
    <row r="4" ht="32" customHeight="1">
      <c r="A4" s="5" t="inlineStr">
        <is>
          <t>تاریخ</t>
        </is>
      </c>
      <c r="B4" s="5" t="inlineStr">
        <is>
          <t>شناسه هزینه</t>
        </is>
      </c>
      <c r="C4" s="5" t="inlineStr">
        <is>
          <t>مبلغ (ریال)</t>
        </is>
      </c>
      <c r="D4" s="5" t="inlineStr">
        <is>
          <t>تامین‌کننده</t>
        </is>
      </c>
      <c r="E4" s="5" t="inlineStr">
        <is>
          <t>مرجع</t>
        </is>
      </c>
    </row>
    <row r="5">
      <c r="A5" s="3" t="inlineStr">
        <is>
          <t>1405/07/06</t>
        </is>
      </c>
      <c r="B5" s="3" t="inlineStr">
        <is>
          <t>E1</t>
        </is>
      </c>
      <c r="C5" s="18" t="n">
        <v>9000000</v>
      </c>
      <c r="D5" s="22">
        <f>IF(B5="","",IFERROR(INDEX('هزینه‌ها'!$E$5:$E$16,MATCH(B5,'هزینه‌ها'!$A$5:$A$16,0))&amp;"","شناسه نامعتبر"))</f>
        <v/>
      </c>
      <c r="E5" s="3" t="inlineStr">
        <is>
          <t>SP-01</t>
        </is>
      </c>
    </row>
    <row r="6">
      <c r="A6" s="3" t="inlineStr">
        <is>
          <t>1405/07/06</t>
        </is>
      </c>
      <c r="B6" s="3" t="inlineStr">
        <is>
          <t>E2</t>
        </is>
      </c>
      <c r="C6" s="18" t="n">
        <v>4500000</v>
      </c>
      <c r="D6" s="22">
        <f>IF(B6="","",IFERROR(INDEX('هزینه‌ها'!$E$5:$E$16,MATCH(B6,'هزینه‌ها'!$A$5:$A$16,0))&amp;"","شناسه نامعتبر"))</f>
        <v/>
      </c>
      <c r="E6" s="3" t="inlineStr">
        <is>
          <t>SP-02</t>
        </is>
      </c>
    </row>
    <row r="7">
      <c r="A7" s="3" t="inlineStr">
        <is>
          <t>1405/07/14</t>
        </is>
      </c>
      <c r="B7" s="3" t="inlineStr">
        <is>
          <t>E3</t>
        </is>
      </c>
      <c r="C7" s="18" t="n">
        <v>6000000</v>
      </c>
      <c r="D7" s="22">
        <f>IF(B7="","",IFERROR(INDEX('هزینه‌ها'!$E$5:$E$16,MATCH(B7,'هزینه‌ها'!$A$5:$A$16,0))&amp;"","شناسه نامعتبر"))</f>
        <v/>
      </c>
      <c r="E7" s="3" t="inlineStr">
        <is>
          <t>SP-03</t>
        </is>
      </c>
    </row>
    <row r="8">
      <c r="A8" s="3" t="inlineStr">
        <is>
          <t>1405/07/29</t>
        </is>
      </c>
      <c r="B8" s="3" t="inlineStr">
        <is>
          <t>E5</t>
        </is>
      </c>
      <c r="C8" s="18" t="n">
        <v>1600000</v>
      </c>
      <c r="D8" s="22">
        <f>IF(B8="","",IFERROR(INDEX('هزینه‌ها'!$E$5:$E$16,MATCH(B8,'هزینه‌ها'!$A$5:$A$16,0))&amp;"","شناسه نامعتبر"))</f>
        <v/>
      </c>
      <c r="E8" s="3" t="inlineStr">
        <is>
          <t>SP-04</t>
        </is>
      </c>
    </row>
    <row r="9">
      <c r="A9" s="3" t="inlineStr">
        <is>
          <t>1405/07/16</t>
        </is>
      </c>
      <c r="B9" s="3" t="inlineStr">
        <is>
          <t>E6</t>
        </is>
      </c>
      <c r="C9" s="18" t="n">
        <v>6000000</v>
      </c>
      <c r="D9" s="22">
        <f>IF(B9="","",IFERROR(INDEX('هزینه‌ها'!$E$5:$E$16,MATCH(B9,'هزینه‌ها'!$A$5:$A$16,0))&amp;"","شناسه نامعتبر"))</f>
        <v/>
      </c>
      <c r="E9" s="3" t="inlineStr">
        <is>
          <t>SP-05</t>
        </is>
      </c>
    </row>
    <row r="10">
      <c r="A10" s="3" t="inlineStr">
        <is>
          <t>1405/07/21</t>
        </is>
      </c>
      <c r="B10" s="3" t="inlineStr">
        <is>
          <t>E7</t>
        </is>
      </c>
      <c r="C10" s="18" t="n">
        <v>2500000</v>
      </c>
      <c r="D10" s="22">
        <f>IF(B10="","",IFERROR(INDEX('هزینه‌ها'!$E$5:$E$16,MATCH(B10,'هزینه‌ها'!$A$5:$A$16,0))&amp;"","شناسه نامعتبر"))</f>
        <v/>
      </c>
      <c r="E10" s="3" t="inlineStr">
        <is>
          <t>SP-06</t>
        </is>
      </c>
    </row>
    <row r="11">
      <c r="A11" s="3" t="inlineStr">
        <is>
          <t>1405/07/22</t>
        </is>
      </c>
      <c r="B11" s="3" t="inlineStr">
        <is>
          <t>E8</t>
        </is>
      </c>
      <c r="C11" s="18" t="n">
        <v>3000000</v>
      </c>
      <c r="D11" s="22">
        <f>IF(B11="","",IFERROR(INDEX('هزینه‌ها'!$E$5:$E$16,MATCH(B11,'هزینه‌ها'!$A$5:$A$16,0))&amp;"","شناسه نامعتبر"))</f>
        <v/>
      </c>
      <c r="E11" s="3" t="inlineStr">
        <is>
          <t>SP-07</t>
        </is>
      </c>
    </row>
    <row r="12">
      <c r="A12" s="3" t="n"/>
      <c r="B12" s="3" t="n"/>
      <c r="C12" s="18" t="n"/>
      <c r="D12" s="22">
        <f>IF(B12="","",IFERROR(INDEX('هزینه‌ها'!$E$5:$E$16,MATCH(B12,'هزینه‌ها'!$A$5:$A$16,0))&amp;"","شناسه نامعتبر"))</f>
        <v/>
      </c>
      <c r="E12" s="3" t="n"/>
    </row>
    <row r="13">
      <c r="A13" s="3" t="n"/>
      <c r="B13" s="3" t="n"/>
      <c r="C13" s="18" t="n"/>
      <c r="D13" s="22">
        <f>IF(B13="","",IFERROR(INDEX('هزینه‌ها'!$E$5:$E$16,MATCH(B13,'هزینه‌ها'!$A$5:$A$16,0))&amp;"","شناسه نامعتبر"))</f>
        <v/>
      </c>
      <c r="E13" s="3" t="n"/>
    </row>
    <row r="14">
      <c r="A14" s="3" t="n"/>
      <c r="B14" s="3" t="n"/>
      <c r="C14" s="18" t="n"/>
      <c r="D14" s="22">
        <f>IF(B14="","",IFERROR(INDEX('هزینه‌ها'!$E$5:$E$16,MATCH(B14,'هزینه‌ها'!$A$5:$A$16,0))&amp;"","شناسه نامعتبر"))</f>
        <v/>
      </c>
      <c r="E14" s="3" t="n"/>
    </row>
    <row r="15">
      <c r="A15" s="3" t="n"/>
      <c r="B15" s="3" t="n"/>
      <c r="C15" s="18" t="n"/>
      <c r="D15" s="22">
        <f>IF(B15="","",IFERROR(INDEX('هزینه‌ها'!$E$5:$E$16,MATCH(B15,'هزینه‌ها'!$A$5:$A$16,0))&amp;"","شناسه نامعتبر"))</f>
        <v/>
      </c>
      <c r="E15" s="3" t="n"/>
    </row>
    <row r="16">
      <c r="A16" s="3" t="n"/>
      <c r="B16" s="3" t="n"/>
      <c r="C16" s="18" t="n"/>
      <c r="D16" s="22">
        <f>IF(B16="","",IFERROR(INDEX('هزینه‌ها'!$E$5:$E$16,MATCH(B16,'هزینه‌ها'!$A$5:$A$16,0))&amp;"","شناسه نامعتبر"))</f>
        <v/>
      </c>
      <c r="E16" s="3" t="n"/>
    </row>
    <row r="17">
      <c r="A17" s="3" t="n"/>
      <c r="B17" s="3" t="n"/>
      <c r="C17" s="18" t="n"/>
      <c r="D17" s="22">
        <f>IF(B17="","",IFERROR(INDEX('هزینه‌ها'!$E$5:$E$16,MATCH(B17,'هزینه‌ها'!$A$5:$A$16,0))&amp;"","شناسه نامعتبر"))</f>
        <v/>
      </c>
      <c r="E17" s="3" t="n"/>
    </row>
    <row r="18">
      <c r="A18" s="3" t="n"/>
      <c r="B18" s="3" t="n"/>
      <c r="C18" s="18" t="n"/>
      <c r="D18" s="22">
        <f>IF(B18="","",IFERROR(INDEX('هزینه‌ها'!$E$5:$E$16,MATCH(B18,'هزینه‌ها'!$A$5:$A$16,0))&amp;"","شناسه نامعتبر"))</f>
        <v/>
      </c>
      <c r="E18" s="3" t="n"/>
    </row>
    <row r="19">
      <c r="A19" s="3" t="n"/>
      <c r="B19" s="3" t="n"/>
      <c r="C19" s="18" t="n"/>
      <c r="D19" s="22">
        <f>IF(B19="","",IFERROR(INDEX('هزینه‌ها'!$E$5:$E$16,MATCH(B19,'هزینه‌ها'!$A$5:$A$16,0))&amp;"","شناسه نامعتبر"))</f>
        <v/>
      </c>
      <c r="E19" s="3" t="n"/>
    </row>
    <row r="20">
      <c r="A20" s="3" t="n"/>
      <c r="B20" s="3" t="n"/>
      <c r="C20" s="18" t="n"/>
      <c r="D20" s="22">
        <f>IF(B20="","",IFERROR(INDEX('هزینه‌ها'!$E$5:$E$16,MATCH(B20,'هزینه‌ها'!$A$5:$A$16,0))&amp;"","شناسه نامعتبر"))</f>
        <v/>
      </c>
      <c r="E20" s="3" t="n"/>
    </row>
    <row r="21">
      <c r="A21" s="3" t="n"/>
      <c r="B21" s="3" t="n"/>
      <c r="C21" s="18" t="n"/>
      <c r="D21" s="22">
        <f>IF(B21="","",IFERROR(INDEX('هزینه‌ها'!$E$5:$E$16,MATCH(B21,'هزینه‌ها'!$A$5:$A$16,0))&amp;"","شناسه نامعتبر"))</f>
        <v/>
      </c>
      <c r="E21" s="3" t="n"/>
    </row>
    <row r="22">
      <c r="A22" s="3" t="n"/>
      <c r="B22" s="3" t="n"/>
      <c r="C22" s="18" t="n"/>
      <c r="D22" s="22">
        <f>IF(B22="","",IFERROR(INDEX('هزینه‌ها'!$E$5:$E$16,MATCH(B22,'هزینه‌ها'!$A$5:$A$16,0))&amp;"","شناسه نامعتبر"))</f>
        <v/>
      </c>
      <c r="E22" s="3" t="n"/>
    </row>
    <row r="23">
      <c r="A23" s="3" t="n"/>
      <c r="B23" s="3" t="n"/>
      <c r="C23" s="18" t="n"/>
      <c r="D23" s="22">
        <f>IF(B23="","",IFERROR(INDEX('هزینه‌ها'!$E$5:$E$16,MATCH(B23,'هزینه‌ها'!$A$5:$A$16,0))&amp;"","شناسه نامعتبر"))</f>
        <v/>
      </c>
      <c r="E23" s="3" t="n"/>
    </row>
    <row r="24">
      <c r="A24" s="3" t="n"/>
      <c r="B24" s="3" t="n"/>
      <c r="C24" s="18" t="n"/>
      <c r="D24" s="22">
        <f>IF(B24="","",IFERROR(INDEX('هزینه‌ها'!$E$5:$E$16,MATCH(B24,'هزینه‌ها'!$A$5:$A$16,0))&amp;"","شناسه نامعتبر"))</f>
        <v/>
      </c>
      <c r="E24" s="3" t="n"/>
    </row>
    <row r="25">
      <c r="A25" s="3" t="n"/>
      <c r="B25" s="3" t="n"/>
      <c r="C25" s="18" t="n"/>
      <c r="D25" s="22">
        <f>IF(B25="","",IFERROR(INDEX('هزینه‌ها'!$E$5:$E$16,MATCH(B25,'هزینه‌ها'!$A$5:$A$16,0))&amp;"","شناسه نامعتبر"))</f>
        <v/>
      </c>
      <c r="E25" s="3" t="n"/>
    </row>
    <row r="26">
      <c r="A26" s="3" t="n"/>
      <c r="B26" s="3" t="n"/>
      <c r="C26" s="18" t="n"/>
      <c r="D26" s="22">
        <f>IF(B26="","",IFERROR(INDEX('هزینه‌ها'!$E$5:$E$16,MATCH(B26,'هزینه‌ها'!$A$5:$A$16,0))&amp;"","شناسه نامعتبر"))</f>
        <v/>
      </c>
      <c r="E26" s="3" t="n"/>
    </row>
    <row r="27">
      <c r="A27" s="3" t="n"/>
      <c r="B27" s="3" t="n"/>
      <c r="C27" s="18" t="n"/>
      <c r="D27" s="22">
        <f>IF(B27="","",IFERROR(INDEX('هزینه‌ها'!$E$5:$E$16,MATCH(B27,'هزینه‌ها'!$A$5:$A$16,0))&amp;"","شناسه نامعتبر"))</f>
        <v/>
      </c>
      <c r="E27" s="3" t="n"/>
    </row>
    <row r="28">
      <c r="A28" s="3" t="n"/>
      <c r="B28" s="3" t="n"/>
      <c r="C28" s="18" t="n"/>
      <c r="D28" s="22">
        <f>IF(B28="","",IFERROR(INDEX('هزینه‌ها'!$E$5:$E$16,MATCH(B28,'هزینه‌ها'!$A$5:$A$16,0))&amp;"","شناسه نامعتبر"))</f>
        <v/>
      </c>
      <c r="E28" s="3" t="n"/>
    </row>
    <row r="29">
      <c r="A29" s="3" t="n"/>
      <c r="B29" s="3" t="n"/>
      <c r="C29" s="18" t="n"/>
      <c r="D29" s="22">
        <f>IF(B29="","",IFERROR(INDEX('هزینه‌ها'!$E$5:$E$16,MATCH(B29,'هزینه‌ها'!$A$5:$A$16,0))&amp;"","شناسه نامعتبر"))</f>
        <v/>
      </c>
      <c r="E29" s="3" t="n"/>
    </row>
    <row r="30">
      <c r="A30" s="3" t="n"/>
      <c r="B30" s="3" t="n"/>
      <c r="C30" s="18" t="n"/>
      <c r="D30" s="22">
        <f>IF(B30="","",IFERROR(INDEX('هزینه‌ها'!$E$5:$E$16,MATCH(B30,'هزینه‌ها'!$A$5:$A$16,0))&amp;"","شناسه نامعتبر"))</f>
        <v/>
      </c>
      <c r="E30" s="3" t="n"/>
    </row>
    <row r="31">
      <c r="A31" s="3" t="n"/>
      <c r="B31" s="3" t="n"/>
      <c r="C31" s="18" t="n"/>
      <c r="D31" s="22">
        <f>IF(B31="","",IFERROR(INDEX('هزینه‌ها'!$E$5:$E$16,MATCH(B31,'هزینه‌ها'!$A$5:$A$16,0))&amp;"","شناسه نامعتبر"))</f>
        <v/>
      </c>
      <c r="E31" s="3" t="n"/>
    </row>
    <row r="32">
      <c r="A32" s="3" t="n"/>
      <c r="B32" s="3" t="n"/>
      <c r="C32" s="18" t="n"/>
      <c r="D32" s="22">
        <f>IF(B32="","",IFERROR(INDEX('هزینه‌ها'!$E$5:$E$16,MATCH(B32,'هزینه‌ها'!$A$5:$A$16,0))&amp;"","شناسه نامعتبر"))</f>
        <v/>
      </c>
      <c r="E32" s="3" t="n"/>
    </row>
    <row r="33">
      <c r="A33" s="3" t="n"/>
      <c r="B33" s="3" t="n"/>
      <c r="C33" s="18" t="n"/>
      <c r="D33" s="22">
        <f>IF(B33="","",IFERROR(INDEX('هزینه‌ها'!$E$5:$E$16,MATCH(B33,'هزینه‌ها'!$A$5:$A$16,0))&amp;"","شناسه نامعتبر"))</f>
        <v/>
      </c>
      <c r="E33" s="3" t="n"/>
    </row>
    <row r="34">
      <c r="A34" s="3" t="n"/>
      <c r="B34" s="3" t="n"/>
      <c r="C34" s="18" t="n"/>
      <c r="D34" s="22">
        <f>IF(B34="","",IFERROR(INDEX('هزینه‌ها'!$E$5:$E$16,MATCH(B34,'هزینه‌ها'!$A$5:$A$16,0))&amp;"","شناسه نامعتبر"))</f>
        <v/>
      </c>
      <c r="E34" s="3" t="n"/>
    </row>
  </sheetData>
  <dataValidations count="2">
    <dataValidation sqref="B5:B34" showDropDown="0" showInputMessage="0" showErrorMessage="1" allowBlank="1" errorTitle="مقدار نامعتبر" error="لطفاً از فهرست انتخاب کنید." type="list">
      <formula1>'هزینه‌ها'!$A$5:$A$16</formula1>
    </dataValidation>
    <dataValidation sqref="C5:C34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4" customWidth="1" min="4" max="4"/>
    <col width="10" customWidth="1" min="5" max="5"/>
    <col width="40" customWidth="1" min="6" max="6"/>
    <col width="10" customWidth="1" min="7" max="7"/>
  </cols>
  <sheetData>
    <row r="1">
      <c r="A1" s="1" t="inlineStr">
        <is>
          <t>تعدیل‌ها و استرداد وجه</t>
        </is>
      </c>
    </row>
    <row r="2">
      <c r="A2" s="8" t="inlineStr">
        <is>
          <t>ذکر دلیل الزامی است. استرداد وجه از صندوق نقد پرداخت و به بدهی واحد افزوده می‌شود.</t>
        </is>
      </c>
    </row>
    <row r="4" ht="32" customHeight="1">
      <c r="A4" s="5" t="inlineStr">
        <is>
          <t>تاریخ</t>
        </is>
      </c>
      <c r="B4" s="5" t="inlineStr">
        <is>
          <t>واحد</t>
        </is>
      </c>
      <c r="C4" s="5" t="inlineStr">
        <is>
          <t>نوع</t>
        </is>
      </c>
      <c r="D4" s="5" t="inlineStr">
        <is>
          <t>مبلغ (ریال)</t>
        </is>
      </c>
      <c r="E4" s="5" t="inlineStr">
        <is>
          <t>صندوق</t>
        </is>
      </c>
      <c r="F4" s="5" t="inlineStr">
        <is>
          <t>دلیل (الزامی)</t>
        </is>
      </c>
      <c r="G4" s="5" t="inlineStr">
        <is>
          <t>دوره مرتبط</t>
        </is>
      </c>
    </row>
    <row r="5">
      <c r="A5" s="3" t="inlineStr">
        <is>
          <t>1405/07/30</t>
        </is>
      </c>
      <c r="B5" s="3" t="inlineStr">
        <is>
          <t>1-2</t>
        </is>
      </c>
      <c r="C5" s="3" t="inlineStr">
        <is>
          <t>بستانکار (کاهش بدهی)</t>
        </is>
      </c>
      <c r="D5" s="18" t="n">
        <v>300000</v>
      </c>
      <c r="E5" s="3" t="inlineStr">
        <is>
          <t>عملیاتی</t>
        </is>
      </c>
      <c r="F5" s="3" t="inlineStr">
        <is>
          <t>اصلاح نمونه: کسر هزینه نظافت دوره قبل</t>
        </is>
      </c>
      <c r="G5" s="3" t="inlineStr">
        <is>
          <t>1405-07</t>
        </is>
      </c>
    </row>
    <row r="6">
      <c r="A6" s="3" t="inlineStr">
        <is>
          <t>1405/07/30</t>
        </is>
      </c>
      <c r="B6" s="3" t="inlineStr">
        <is>
          <t>3-1</t>
        </is>
      </c>
      <c r="C6" s="3" t="inlineStr">
        <is>
          <t>استرداد وجه</t>
        </is>
      </c>
      <c r="D6" s="18" t="n">
        <v>500000</v>
      </c>
      <c r="E6" s="3" t="inlineStr">
        <is>
          <t>عملیاتی</t>
        </is>
      </c>
      <c r="F6" s="3" t="inlineStr">
        <is>
          <t>استرداد بستانکاری افتتاحیه (نمونه)</t>
        </is>
      </c>
      <c r="G6" s="3" t="inlineStr">
        <is>
          <t>1405-07</t>
        </is>
      </c>
    </row>
    <row r="7">
      <c r="A7" s="3" t="n"/>
      <c r="B7" s="3" t="n"/>
      <c r="C7" s="3" t="n"/>
      <c r="D7" s="18" t="n"/>
      <c r="E7" s="3" t="n"/>
      <c r="F7" s="3" t="n"/>
      <c r="G7" s="3" t="n"/>
    </row>
    <row r="8">
      <c r="A8" s="3" t="n"/>
      <c r="B8" s="3" t="n"/>
      <c r="C8" s="3" t="n"/>
      <c r="D8" s="18" t="n"/>
      <c r="E8" s="3" t="n"/>
      <c r="F8" s="3" t="n"/>
      <c r="G8" s="3" t="n"/>
    </row>
    <row r="9">
      <c r="A9" s="3" t="n"/>
      <c r="B9" s="3" t="n"/>
      <c r="C9" s="3" t="n"/>
      <c r="D9" s="18" t="n"/>
      <c r="E9" s="3" t="n"/>
      <c r="F9" s="3" t="n"/>
      <c r="G9" s="3" t="n"/>
    </row>
    <row r="10">
      <c r="A10" s="3" t="n"/>
      <c r="B10" s="3" t="n"/>
      <c r="C10" s="3" t="n"/>
      <c r="D10" s="18" t="n"/>
      <c r="E10" s="3" t="n"/>
      <c r="F10" s="3" t="n"/>
      <c r="G10" s="3" t="n"/>
    </row>
    <row r="11">
      <c r="A11" s="3" t="n"/>
      <c r="B11" s="3" t="n"/>
      <c r="C11" s="3" t="n"/>
      <c r="D11" s="18" t="n"/>
      <c r="E11" s="3" t="n"/>
      <c r="F11" s="3" t="n"/>
      <c r="G11" s="3" t="n"/>
    </row>
    <row r="12">
      <c r="A12" s="3" t="n"/>
      <c r="B12" s="3" t="n"/>
      <c r="C12" s="3" t="n"/>
      <c r="D12" s="18" t="n"/>
      <c r="E12" s="3" t="n"/>
      <c r="F12" s="3" t="n"/>
      <c r="G12" s="3" t="n"/>
    </row>
    <row r="13">
      <c r="A13" s="3" t="n"/>
      <c r="B13" s="3" t="n"/>
      <c r="C13" s="3" t="n"/>
      <c r="D13" s="18" t="n"/>
      <c r="E13" s="3" t="n"/>
      <c r="F13" s="3" t="n"/>
      <c r="G13" s="3" t="n"/>
    </row>
    <row r="14">
      <c r="A14" s="3" t="n"/>
      <c r="B14" s="3" t="n"/>
      <c r="C14" s="3" t="n"/>
      <c r="D14" s="18" t="n"/>
      <c r="E14" s="3" t="n"/>
      <c r="F14" s="3" t="n"/>
      <c r="G14" s="3" t="n"/>
    </row>
    <row r="15">
      <c r="A15" s="3" t="n"/>
      <c r="B15" s="3" t="n"/>
      <c r="C15" s="3" t="n"/>
      <c r="D15" s="18" t="n"/>
      <c r="E15" s="3" t="n"/>
      <c r="F15" s="3" t="n"/>
      <c r="G15" s="3" t="n"/>
    </row>
    <row r="16">
      <c r="A16" s="3" t="n"/>
      <c r="B16" s="3" t="n"/>
      <c r="C16" s="3" t="n"/>
      <c r="D16" s="18" t="n"/>
      <c r="E16" s="3" t="n"/>
      <c r="F16" s="3" t="n"/>
      <c r="G16" s="3" t="n"/>
    </row>
    <row r="17">
      <c r="A17" s="3" t="n"/>
      <c r="B17" s="3" t="n"/>
      <c r="C17" s="3" t="n"/>
      <c r="D17" s="18" t="n"/>
      <c r="E17" s="3" t="n"/>
      <c r="F17" s="3" t="n"/>
      <c r="G17" s="3" t="n"/>
    </row>
    <row r="18">
      <c r="A18" s="3" t="n"/>
      <c r="B18" s="3" t="n"/>
      <c r="C18" s="3" t="n"/>
      <c r="D18" s="18" t="n"/>
      <c r="E18" s="3" t="n"/>
      <c r="F18" s="3" t="n"/>
      <c r="G18" s="3" t="n"/>
    </row>
    <row r="19">
      <c r="A19" s="3" t="n"/>
      <c r="B19" s="3" t="n"/>
      <c r="C19" s="3" t="n"/>
      <c r="D19" s="18" t="n"/>
      <c r="E19" s="3" t="n"/>
      <c r="F19" s="3" t="n"/>
      <c r="G19" s="3" t="n"/>
    </row>
    <row r="20">
      <c r="A20" s="3" t="n"/>
      <c r="B20" s="3" t="n"/>
      <c r="C20" s="3" t="n"/>
      <c r="D20" s="18" t="n"/>
      <c r="E20" s="3" t="n"/>
      <c r="F20" s="3" t="n"/>
      <c r="G20" s="3" t="n"/>
    </row>
    <row r="21">
      <c r="A21" s="3" t="n"/>
      <c r="B21" s="3" t="n"/>
      <c r="C21" s="3" t="n"/>
      <c r="D21" s="18" t="n"/>
      <c r="E21" s="3" t="n"/>
      <c r="F21" s="3" t="n"/>
      <c r="G21" s="3" t="n"/>
    </row>
    <row r="22">
      <c r="A22" s="3" t="n"/>
      <c r="B22" s="3" t="n"/>
      <c r="C22" s="3" t="n"/>
      <c r="D22" s="18" t="n"/>
      <c r="E22" s="3" t="n"/>
      <c r="F22" s="3" t="n"/>
      <c r="G22" s="3" t="n"/>
    </row>
    <row r="23">
      <c r="A23" s="3" t="n"/>
      <c r="B23" s="3" t="n"/>
      <c r="C23" s="3" t="n"/>
      <c r="D23" s="18" t="n"/>
      <c r="E23" s="3" t="n"/>
      <c r="F23" s="3" t="n"/>
      <c r="G23" s="3" t="n"/>
    </row>
    <row r="24">
      <c r="A24" s="3" t="n"/>
      <c r="B24" s="3" t="n"/>
      <c r="C24" s="3" t="n"/>
      <c r="D24" s="18" t="n"/>
      <c r="E24" s="3" t="n"/>
      <c r="F24" s="3" t="n"/>
      <c r="G24" s="3" t="n"/>
    </row>
  </sheetData>
  <dataValidations count="4">
    <dataValidation sqref="B5:B24" showDropDown="0" showInputMessage="0" showErrorMessage="1" allowBlank="1" errorTitle="مقدار نامعتبر" error="لطفاً از فهرست انتخاب کنید." type="list">
      <formula1>'واحدها'!$A$5:$A$13</formula1>
    </dataValidation>
    <dataValidation sqref="C5:C24" showDropDown="0" showInputMessage="0" showErrorMessage="1" allowBlank="1" errorTitle="مقدار نامعتبر" error="لطفاً از فهرست انتخاب کنید." type="list">
      <formula1>'فهرست‌ها'!$I$4:$I$6</formula1>
    </dataValidation>
    <dataValidation sqref="E5:E24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D5:D24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انتقال بین صندوق‌ها (هزینه یا درآمد نیست)</t>
        </is>
      </c>
    </row>
    <row r="4" ht="32" customHeight="1">
      <c r="A4" s="5" t="inlineStr">
        <is>
          <t>تاریخ</t>
        </is>
      </c>
      <c r="B4" s="5" t="inlineStr">
        <is>
          <t>از صندوق</t>
        </is>
      </c>
      <c r="C4" s="5" t="inlineStr">
        <is>
          <t>به صندوق</t>
        </is>
      </c>
      <c r="D4" s="5" t="inlineStr">
        <is>
          <t>مبلغ (ریال)</t>
        </is>
      </c>
      <c r="E4" s="5" t="inlineStr">
        <is>
          <t>یادداشت</t>
        </is>
      </c>
    </row>
    <row r="5">
      <c r="A5" s="3" t="inlineStr">
        <is>
          <t>1405/07/30</t>
        </is>
      </c>
      <c r="B5" s="3" t="inlineStr">
        <is>
          <t>عملیاتی</t>
        </is>
      </c>
      <c r="C5" s="3" t="inlineStr">
        <is>
          <t>اندوخته</t>
        </is>
      </c>
      <c r="D5" s="18" t="n">
        <v>5000000</v>
      </c>
      <c r="E5" s="3" t="inlineStr">
        <is>
          <t>انتقال نمونه به اندوخته</t>
        </is>
      </c>
    </row>
    <row r="6">
      <c r="A6" s="3" t="n"/>
      <c r="B6" s="3" t="n"/>
      <c r="C6" s="3" t="n"/>
      <c r="D6" s="18" t="n"/>
      <c r="E6" s="3" t="n"/>
    </row>
    <row r="7">
      <c r="A7" s="3" t="n"/>
      <c r="B7" s="3" t="n"/>
      <c r="C7" s="3" t="n"/>
      <c r="D7" s="18" t="n"/>
      <c r="E7" s="3" t="n"/>
    </row>
    <row r="8">
      <c r="A8" s="3" t="n"/>
      <c r="B8" s="3" t="n"/>
      <c r="C8" s="3" t="n"/>
      <c r="D8" s="18" t="n"/>
      <c r="E8" s="3" t="n"/>
    </row>
    <row r="9">
      <c r="A9" s="3" t="n"/>
      <c r="B9" s="3" t="n"/>
      <c r="C9" s="3" t="n"/>
      <c r="D9" s="18" t="n"/>
      <c r="E9" s="3" t="n"/>
    </row>
    <row r="10">
      <c r="A10" s="3" t="n"/>
      <c r="B10" s="3" t="n"/>
      <c r="C10" s="3" t="n"/>
      <c r="D10" s="18" t="n"/>
      <c r="E10" s="3" t="n"/>
    </row>
    <row r="11">
      <c r="A11" s="3" t="n"/>
      <c r="B11" s="3" t="n"/>
      <c r="C11" s="3" t="n"/>
      <c r="D11" s="18" t="n"/>
      <c r="E11" s="3" t="n"/>
    </row>
    <row r="12">
      <c r="A12" s="3" t="n"/>
      <c r="B12" s="3" t="n"/>
      <c r="C12" s="3" t="n"/>
      <c r="D12" s="18" t="n"/>
      <c r="E12" s="3" t="n"/>
    </row>
    <row r="13">
      <c r="A13" s="3" t="n"/>
      <c r="B13" s="3" t="n"/>
      <c r="C13" s="3" t="n"/>
      <c r="D13" s="18" t="n"/>
      <c r="E13" s="3" t="n"/>
    </row>
    <row r="14">
      <c r="A14" s="3" t="n"/>
      <c r="B14" s="3" t="n"/>
      <c r="C14" s="3" t="n"/>
      <c r="D14" s="18" t="n"/>
      <c r="E14" s="3" t="n"/>
    </row>
  </sheetData>
  <dataValidations count="2">
    <dataValidation sqref="B5:C14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D5:D14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8" customWidth="1" min="4" max="4"/>
    <col width="26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دفتر صندوق نقد ساختمان (تمام گردش‌های نقدی)</t>
        </is>
      </c>
    </row>
    <row r="2">
      <c r="A2" s="8" t="inlineStr">
        <is>
          <t>فقط از برگه‌های مبدأ پر می‌شود؛ ویرایش نکنید. انتقال بین صندوق‌ها گردش نقدی ندارد.</t>
        </is>
      </c>
    </row>
    <row r="4" ht="32" customHeight="1">
      <c r="A4" s="5" t="inlineStr">
        <is>
          <t>ردیف</t>
        </is>
      </c>
      <c r="B4" s="5" t="inlineStr">
        <is>
          <t>تاریخ</t>
        </is>
      </c>
      <c r="C4" s="5" t="inlineStr">
        <is>
          <t>نوع</t>
        </is>
      </c>
      <c r="D4" s="5" t="inlineStr">
        <is>
          <t>طرف حساب</t>
        </is>
      </c>
      <c r="E4" s="5" t="inlineStr">
        <is>
          <t>شرح / مرجع</t>
        </is>
      </c>
      <c r="F4" s="5" t="inlineStr">
        <is>
          <t>ورود (ریال)</t>
        </is>
      </c>
      <c r="G4" s="5" t="inlineStr">
        <is>
          <t>خروج (ریال)</t>
        </is>
      </c>
      <c r="H4" s="5" t="inlineStr">
        <is>
          <t>مانده</t>
        </is>
      </c>
    </row>
    <row r="5">
      <c r="A5" s="10" t="n">
        <v>1</v>
      </c>
      <c r="C5" t="inlineStr">
        <is>
          <t>مانده افتتاحیه</t>
        </is>
      </c>
      <c r="F5" s="19">
        <f>'افتتاحیه'!B5</f>
        <v/>
      </c>
      <c r="G5" s="20" t="n">
        <v>0</v>
      </c>
      <c r="H5" s="20">
        <f>F5-G5</f>
        <v/>
      </c>
    </row>
    <row r="6">
      <c r="A6" s="10">
        <f>A5+1</f>
        <v/>
      </c>
      <c r="B6" s="22">
        <f>IF('دریافت‌ها'!C5="","",'دریافت‌ها'!A5)</f>
        <v/>
      </c>
      <c r="C6" s="4">
        <f>IF('دریافت‌ها'!C5="","","دریافت از واحد")</f>
        <v/>
      </c>
      <c r="D6" s="22">
        <f>IF('دریافت‌ها'!C5="","",'دریافت‌ها'!B5)</f>
        <v/>
      </c>
      <c r="E6" s="22">
        <f>IF('دریافت‌ها'!C5="","",'دریافت‌ها'!E5&amp;"")</f>
        <v/>
      </c>
      <c r="F6" s="19">
        <f>N('دریافت‌ها'!C5)</f>
        <v/>
      </c>
      <c r="G6" s="20" t="n">
        <v>0</v>
      </c>
      <c r="H6" s="20">
        <f>H5+F6-G6</f>
        <v/>
      </c>
    </row>
    <row r="7">
      <c r="A7" s="10">
        <f>A6+1</f>
        <v/>
      </c>
      <c r="B7" s="22">
        <f>IF('دریافت‌ها'!C6="","",'دریافت‌ها'!A6)</f>
        <v/>
      </c>
      <c r="C7" s="4">
        <f>IF('دریافت‌ها'!C6="","","دریافت از واحد")</f>
        <v/>
      </c>
      <c r="D7" s="22">
        <f>IF('دریافت‌ها'!C6="","",'دریافت‌ها'!B6)</f>
        <v/>
      </c>
      <c r="E7" s="22">
        <f>IF('دریافت‌ها'!C6="","",'دریافت‌ها'!E6&amp;"")</f>
        <v/>
      </c>
      <c r="F7" s="19">
        <f>N('دریافت‌ها'!C6)</f>
        <v/>
      </c>
      <c r="G7" s="20" t="n">
        <v>0</v>
      </c>
      <c r="H7" s="20">
        <f>H6+F7-G7</f>
        <v/>
      </c>
    </row>
    <row r="8">
      <c r="A8" s="10">
        <f>A7+1</f>
        <v/>
      </c>
      <c r="B8" s="22">
        <f>IF('دریافت‌ها'!C7="","",'دریافت‌ها'!A7)</f>
        <v/>
      </c>
      <c r="C8" s="4">
        <f>IF('دریافت‌ها'!C7="","","دریافت از واحد")</f>
        <v/>
      </c>
      <c r="D8" s="22">
        <f>IF('دریافت‌ها'!C7="","",'دریافت‌ها'!B7)</f>
        <v/>
      </c>
      <c r="E8" s="22">
        <f>IF('دریافت‌ها'!C7="","",'دریافت‌ها'!E7&amp;"")</f>
        <v/>
      </c>
      <c r="F8" s="19">
        <f>N('دریافت‌ها'!C7)</f>
        <v/>
      </c>
      <c r="G8" s="20" t="n">
        <v>0</v>
      </c>
      <c r="H8" s="20">
        <f>H7+F8-G8</f>
        <v/>
      </c>
    </row>
    <row r="9">
      <c r="A9" s="10">
        <f>A8+1</f>
        <v/>
      </c>
      <c r="B9" s="22">
        <f>IF('دریافت‌ها'!C8="","",'دریافت‌ها'!A8)</f>
        <v/>
      </c>
      <c r="C9" s="4">
        <f>IF('دریافت‌ها'!C8="","","دریافت از واحد")</f>
        <v/>
      </c>
      <c r="D9" s="22">
        <f>IF('دریافت‌ها'!C8="","",'دریافت‌ها'!B8)</f>
        <v/>
      </c>
      <c r="E9" s="22">
        <f>IF('دریافت‌ها'!C8="","",'دریافت‌ها'!E8&amp;"")</f>
        <v/>
      </c>
      <c r="F9" s="19">
        <f>N('دریافت‌ها'!C8)</f>
        <v/>
      </c>
      <c r="G9" s="20" t="n">
        <v>0</v>
      </c>
      <c r="H9" s="20">
        <f>H8+F9-G9</f>
        <v/>
      </c>
    </row>
    <row r="10">
      <c r="A10" s="10">
        <f>A9+1</f>
        <v/>
      </c>
      <c r="B10" s="22">
        <f>IF('دریافت‌ها'!C9="","",'دریافت‌ها'!A9)</f>
        <v/>
      </c>
      <c r="C10" s="4">
        <f>IF('دریافت‌ها'!C9="","","دریافت از واحد")</f>
        <v/>
      </c>
      <c r="D10" s="22">
        <f>IF('دریافت‌ها'!C9="","",'دریافت‌ها'!B9)</f>
        <v/>
      </c>
      <c r="E10" s="22">
        <f>IF('دریافت‌ها'!C9="","",'دریافت‌ها'!E9&amp;"")</f>
        <v/>
      </c>
      <c r="F10" s="19">
        <f>N('دریافت‌ها'!C9)</f>
        <v/>
      </c>
      <c r="G10" s="20" t="n">
        <v>0</v>
      </c>
      <c r="H10" s="20">
        <f>H9+F10-G10</f>
        <v/>
      </c>
    </row>
    <row r="11">
      <c r="A11" s="10">
        <f>A10+1</f>
        <v/>
      </c>
      <c r="B11" s="22">
        <f>IF('دریافت‌ها'!C10="","",'دریافت‌ها'!A10)</f>
        <v/>
      </c>
      <c r="C11" s="4">
        <f>IF('دریافت‌ها'!C10="","","دریافت از واحد")</f>
        <v/>
      </c>
      <c r="D11" s="22">
        <f>IF('دریافت‌ها'!C10="","",'دریافت‌ها'!B10)</f>
        <v/>
      </c>
      <c r="E11" s="22">
        <f>IF('دریافت‌ها'!C10="","",'دریافت‌ها'!E10&amp;"")</f>
        <v/>
      </c>
      <c r="F11" s="19">
        <f>N('دریافت‌ها'!C10)</f>
        <v/>
      </c>
      <c r="G11" s="20" t="n">
        <v>0</v>
      </c>
      <c r="H11" s="20">
        <f>H10+F11-G11</f>
        <v/>
      </c>
    </row>
    <row r="12">
      <c r="A12" s="10">
        <f>A11+1</f>
        <v/>
      </c>
      <c r="B12" s="22">
        <f>IF('دریافت‌ها'!C11="","",'دریافت‌ها'!A11)</f>
        <v/>
      </c>
      <c r="C12" s="4">
        <f>IF('دریافت‌ها'!C11="","","دریافت از واحد")</f>
        <v/>
      </c>
      <c r="D12" s="22">
        <f>IF('دریافت‌ها'!C11="","",'دریافت‌ها'!B11)</f>
        <v/>
      </c>
      <c r="E12" s="22">
        <f>IF('دریافت‌ها'!C11="","",'دریافت‌ها'!E11&amp;"")</f>
        <v/>
      </c>
      <c r="F12" s="19">
        <f>N('دریافت‌ها'!C11)</f>
        <v/>
      </c>
      <c r="G12" s="20" t="n">
        <v>0</v>
      </c>
      <c r="H12" s="20">
        <f>H11+F12-G12</f>
        <v/>
      </c>
    </row>
    <row r="13">
      <c r="A13" s="10">
        <f>A12+1</f>
        <v/>
      </c>
      <c r="B13" s="22">
        <f>IF('دریافت‌ها'!C12="","",'دریافت‌ها'!A12)</f>
        <v/>
      </c>
      <c r="C13" s="4">
        <f>IF('دریافت‌ها'!C12="","","دریافت از واحد")</f>
        <v/>
      </c>
      <c r="D13" s="22">
        <f>IF('دریافت‌ها'!C12="","",'دریافت‌ها'!B12)</f>
        <v/>
      </c>
      <c r="E13" s="22">
        <f>IF('دریافت‌ها'!C12="","",'دریافت‌ها'!E12&amp;"")</f>
        <v/>
      </c>
      <c r="F13" s="19">
        <f>N('دریافت‌ها'!C12)</f>
        <v/>
      </c>
      <c r="G13" s="20" t="n">
        <v>0</v>
      </c>
      <c r="H13" s="20">
        <f>H12+F13-G13</f>
        <v/>
      </c>
    </row>
    <row r="14">
      <c r="A14" s="10">
        <f>A13+1</f>
        <v/>
      </c>
      <c r="B14" s="22">
        <f>IF('دریافت‌ها'!C13="","",'دریافت‌ها'!A13)</f>
        <v/>
      </c>
      <c r="C14" s="4">
        <f>IF('دریافت‌ها'!C13="","","دریافت از واحد")</f>
        <v/>
      </c>
      <c r="D14" s="22">
        <f>IF('دریافت‌ها'!C13="","",'دریافت‌ها'!B13)</f>
        <v/>
      </c>
      <c r="E14" s="22">
        <f>IF('دریافت‌ها'!C13="","",'دریافت‌ها'!E13&amp;"")</f>
        <v/>
      </c>
      <c r="F14" s="19">
        <f>N('دریافت‌ها'!C13)</f>
        <v/>
      </c>
      <c r="G14" s="20" t="n">
        <v>0</v>
      </c>
      <c r="H14" s="20">
        <f>H13+F14-G14</f>
        <v/>
      </c>
    </row>
    <row r="15">
      <c r="A15" s="10">
        <f>A14+1</f>
        <v/>
      </c>
      <c r="B15" s="22">
        <f>IF('دریافت‌ها'!C14="","",'دریافت‌ها'!A14)</f>
        <v/>
      </c>
      <c r="C15" s="4">
        <f>IF('دریافت‌ها'!C14="","","دریافت از واحد")</f>
        <v/>
      </c>
      <c r="D15" s="22">
        <f>IF('دریافت‌ها'!C14="","",'دریافت‌ها'!B14)</f>
        <v/>
      </c>
      <c r="E15" s="22">
        <f>IF('دریافت‌ها'!C14="","",'دریافت‌ها'!E14&amp;"")</f>
        <v/>
      </c>
      <c r="F15" s="19">
        <f>N('دریافت‌ها'!C14)</f>
        <v/>
      </c>
      <c r="G15" s="20" t="n">
        <v>0</v>
      </c>
      <c r="H15" s="20">
        <f>H14+F15-G15</f>
        <v/>
      </c>
    </row>
    <row r="16">
      <c r="A16" s="10">
        <f>A15+1</f>
        <v/>
      </c>
      <c r="B16" s="22">
        <f>IF('دریافت‌ها'!C15="","",'دریافت‌ها'!A15)</f>
        <v/>
      </c>
      <c r="C16" s="4">
        <f>IF('دریافت‌ها'!C15="","","دریافت از واحد")</f>
        <v/>
      </c>
      <c r="D16" s="22">
        <f>IF('دریافت‌ها'!C15="","",'دریافت‌ها'!B15)</f>
        <v/>
      </c>
      <c r="E16" s="22">
        <f>IF('دریافت‌ها'!C15="","",'دریافت‌ها'!E15&amp;"")</f>
        <v/>
      </c>
      <c r="F16" s="19">
        <f>N('دریافت‌ها'!C15)</f>
        <v/>
      </c>
      <c r="G16" s="20" t="n">
        <v>0</v>
      </c>
      <c r="H16" s="20">
        <f>H15+F16-G16</f>
        <v/>
      </c>
    </row>
    <row r="17">
      <c r="A17" s="10">
        <f>A16+1</f>
        <v/>
      </c>
      <c r="B17" s="22">
        <f>IF('دریافت‌ها'!C16="","",'دریافت‌ها'!A16)</f>
        <v/>
      </c>
      <c r="C17" s="4">
        <f>IF('دریافت‌ها'!C16="","","دریافت از واحد")</f>
        <v/>
      </c>
      <c r="D17" s="22">
        <f>IF('دریافت‌ها'!C16="","",'دریافت‌ها'!B16)</f>
        <v/>
      </c>
      <c r="E17" s="22">
        <f>IF('دریافت‌ها'!C16="","",'دریافت‌ها'!E16&amp;"")</f>
        <v/>
      </c>
      <c r="F17" s="19">
        <f>N('دریافت‌ها'!C16)</f>
        <v/>
      </c>
      <c r="G17" s="20" t="n">
        <v>0</v>
      </c>
      <c r="H17" s="20">
        <f>H16+F17-G17</f>
        <v/>
      </c>
    </row>
    <row r="18">
      <c r="A18" s="10">
        <f>A17+1</f>
        <v/>
      </c>
      <c r="B18" s="22">
        <f>IF('دریافت‌ها'!C17="","",'دریافت‌ها'!A17)</f>
        <v/>
      </c>
      <c r="C18" s="4">
        <f>IF('دریافت‌ها'!C17="","","دریافت از واحد")</f>
        <v/>
      </c>
      <c r="D18" s="22">
        <f>IF('دریافت‌ها'!C17="","",'دریافت‌ها'!B17)</f>
        <v/>
      </c>
      <c r="E18" s="22">
        <f>IF('دریافت‌ها'!C17="","",'دریافت‌ها'!E17&amp;"")</f>
        <v/>
      </c>
      <c r="F18" s="19">
        <f>N('دریافت‌ها'!C17)</f>
        <v/>
      </c>
      <c r="G18" s="20" t="n">
        <v>0</v>
      </c>
      <c r="H18" s="20">
        <f>H17+F18-G18</f>
        <v/>
      </c>
    </row>
    <row r="19">
      <c r="A19" s="10">
        <f>A18+1</f>
        <v/>
      </c>
      <c r="B19" s="22">
        <f>IF('دریافت‌ها'!C18="","",'دریافت‌ها'!A18)</f>
        <v/>
      </c>
      <c r="C19" s="4">
        <f>IF('دریافت‌ها'!C18="","","دریافت از واحد")</f>
        <v/>
      </c>
      <c r="D19" s="22">
        <f>IF('دریافت‌ها'!C18="","",'دریافت‌ها'!B18)</f>
        <v/>
      </c>
      <c r="E19" s="22">
        <f>IF('دریافت‌ها'!C18="","",'دریافت‌ها'!E18&amp;"")</f>
        <v/>
      </c>
      <c r="F19" s="19">
        <f>N('دریافت‌ها'!C18)</f>
        <v/>
      </c>
      <c r="G19" s="20" t="n">
        <v>0</v>
      </c>
      <c r="H19" s="20">
        <f>H18+F19-G19</f>
        <v/>
      </c>
    </row>
    <row r="20">
      <c r="A20" s="10">
        <f>A19+1</f>
        <v/>
      </c>
      <c r="B20" s="22">
        <f>IF('دریافت‌ها'!C19="","",'دریافت‌ها'!A19)</f>
        <v/>
      </c>
      <c r="C20" s="4">
        <f>IF('دریافت‌ها'!C19="","","دریافت از واحد")</f>
        <v/>
      </c>
      <c r="D20" s="22">
        <f>IF('دریافت‌ها'!C19="","",'دریافت‌ها'!B19)</f>
        <v/>
      </c>
      <c r="E20" s="22">
        <f>IF('دریافت‌ها'!C19="","",'دریافت‌ها'!E19&amp;"")</f>
        <v/>
      </c>
      <c r="F20" s="19">
        <f>N('دریافت‌ها'!C19)</f>
        <v/>
      </c>
      <c r="G20" s="20" t="n">
        <v>0</v>
      </c>
      <c r="H20" s="20">
        <f>H19+F20-G20</f>
        <v/>
      </c>
    </row>
    <row r="21">
      <c r="A21" s="10">
        <f>A20+1</f>
        <v/>
      </c>
      <c r="B21" s="22">
        <f>IF('دریافت‌ها'!C20="","",'دریافت‌ها'!A20)</f>
        <v/>
      </c>
      <c r="C21" s="4">
        <f>IF('دریافت‌ها'!C20="","","دریافت از واحد")</f>
        <v/>
      </c>
      <c r="D21" s="22">
        <f>IF('دریافت‌ها'!C20="","",'دریافت‌ها'!B20)</f>
        <v/>
      </c>
      <c r="E21" s="22">
        <f>IF('دریافت‌ها'!C20="","",'دریافت‌ها'!E20&amp;"")</f>
        <v/>
      </c>
      <c r="F21" s="19">
        <f>N('دریافت‌ها'!C20)</f>
        <v/>
      </c>
      <c r="G21" s="20" t="n">
        <v>0</v>
      </c>
      <c r="H21" s="20">
        <f>H20+F21-G21</f>
        <v/>
      </c>
    </row>
    <row r="22">
      <c r="A22" s="10">
        <f>A21+1</f>
        <v/>
      </c>
      <c r="B22" s="22">
        <f>IF('دریافت‌ها'!C21="","",'دریافت‌ها'!A21)</f>
        <v/>
      </c>
      <c r="C22" s="4">
        <f>IF('دریافت‌ها'!C21="","","دریافت از واحد")</f>
        <v/>
      </c>
      <c r="D22" s="22">
        <f>IF('دریافت‌ها'!C21="","",'دریافت‌ها'!B21)</f>
        <v/>
      </c>
      <c r="E22" s="22">
        <f>IF('دریافت‌ها'!C21="","",'دریافت‌ها'!E21&amp;"")</f>
        <v/>
      </c>
      <c r="F22" s="19">
        <f>N('دریافت‌ها'!C21)</f>
        <v/>
      </c>
      <c r="G22" s="20" t="n">
        <v>0</v>
      </c>
      <c r="H22" s="20">
        <f>H21+F22-G22</f>
        <v/>
      </c>
    </row>
    <row r="23">
      <c r="A23" s="10">
        <f>A22+1</f>
        <v/>
      </c>
      <c r="B23" s="22">
        <f>IF('دریافت‌ها'!C22="","",'دریافت‌ها'!A22)</f>
        <v/>
      </c>
      <c r="C23" s="4">
        <f>IF('دریافت‌ها'!C22="","","دریافت از واحد")</f>
        <v/>
      </c>
      <c r="D23" s="22">
        <f>IF('دریافت‌ها'!C22="","",'دریافت‌ها'!B22)</f>
        <v/>
      </c>
      <c r="E23" s="22">
        <f>IF('دریافت‌ها'!C22="","",'دریافت‌ها'!E22&amp;"")</f>
        <v/>
      </c>
      <c r="F23" s="19">
        <f>N('دریافت‌ها'!C22)</f>
        <v/>
      </c>
      <c r="G23" s="20" t="n">
        <v>0</v>
      </c>
      <c r="H23" s="20">
        <f>H22+F23-G23</f>
        <v/>
      </c>
    </row>
    <row r="24">
      <c r="A24" s="10">
        <f>A23+1</f>
        <v/>
      </c>
      <c r="B24" s="22">
        <f>IF('دریافت‌ها'!C23="","",'دریافت‌ها'!A23)</f>
        <v/>
      </c>
      <c r="C24" s="4">
        <f>IF('دریافت‌ها'!C23="","","دریافت از واحد")</f>
        <v/>
      </c>
      <c r="D24" s="22">
        <f>IF('دریافت‌ها'!C23="","",'دریافت‌ها'!B23)</f>
        <v/>
      </c>
      <c r="E24" s="22">
        <f>IF('دریافت‌ها'!C23="","",'دریافت‌ها'!E23&amp;"")</f>
        <v/>
      </c>
      <c r="F24" s="19">
        <f>N('دریافت‌ها'!C23)</f>
        <v/>
      </c>
      <c r="G24" s="20" t="n">
        <v>0</v>
      </c>
      <c r="H24" s="20">
        <f>H23+F24-G24</f>
        <v/>
      </c>
    </row>
    <row r="25">
      <c r="A25" s="10">
        <f>A24+1</f>
        <v/>
      </c>
      <c r="B25" s="22">
        <f>IF('دریافت‌ها'!C24="","",'دریافت‌ها'!A24)</f>
        <v/>
      </c>
      <c r="C25" s="4">
        <f>IF('دریافت‌ها'!C24="","","دریافت از واحد")</f>
        <v/>
      </c>
      <c r="D25" s="22">
        <f>IF('دریافت‌ها'!C24="","",'دریافت‌ها'!B24)</f>
        <v/>
      </c>
      <c r="E25" s="22">
        <f>IF('دریافت‌ها'!C24="","",'دریافت‌ها'!E24&amp;"")</f>
        <v/>
      </c>
      <c r="F25" s="19">
        <f>N('دریافت‌ها'!C24)</f>
        <v/>
      </c>
      <c r="G25" s="20" t="n">
        <v>0</v>
      </c>
      <c r="H25" s="20">
        <f>H24+F25-G25</f>
        <v/>
      </c>
    </row>
    <row r="26">
      <c r="A26" s="10">
        <f>A25+1</f>
        <v/>
      </c>
      <c r="B26" s="22">
        <f>IF('دریافت‌ها'!C25="","",'دریافت‌ها'!A25)</f>
        <v/>
      </c>
      <c r="C26" s="4">
        <f>IF('دریافت‌ها'!C25="","","دریافت از واحد")</f>
        <v/>
      </c>
      <c r="D26" s="22">
        <f>IF('دریافت‌ها'!C25="","",'دریافت‌ها'!B25)</f>
        <v/>
      </c>
      <c r="E26" s="22">
        <f>IF('دریافت‌ها'!C25="","",'دریافت‌ها'!E25&amp;"")</f>
        <v/>
      </c>
      <c r="F26" s="19">
        <f>N('دریافت‌ها'!C25)</f>
        <v/>
      </c>
      <c r="G26" s="20" t="n">
        <v>0</v>
      </c>
      <c r="H26" s="20">
        <f>H25+F26-G26</f>
        <v/>
      </c>
    </row>
    <row r="27">
      <c r="A27" s="10">
        <f>A26+1</f>
        <v/>
      </c>
      <c r="B27" s="22">
        <f>IF('دریافت‌ها'!C26="","",'دریافت‌ها'!A26)</f>
        <v/>
      </c>
      <c r="C27" s="4">
        <f>IF('دریافت‌ها'!C26="","","دریافت از واحد")</f>
        <v/>
      </c>
      <c r="D27" s="22">
        <f>IF('دریافت‌ها'!C26="","",'دریافت‌ها'!B26)</f>
        <v/>
      </c>
      <c r="E27" s="22">
        <f>IF('دریافت‌ها'!C26="","",'دریافت‌ها'!E26&amp;"")</f>
        <v/>
      </c>
      <c r="F27" s="19">
        <f>N('دریافت‌ها'!C26)</f>
        <v/>
      </c>
      <c r="G27" s="20" t="n">
        <v>0</v>
      </c>
      <c r="H27" s="20">
        <f>H26+F27-G27</f>
        <v/>
      </c>
    </row>
    <row r="28">
      <c r="A28" s="10">
        <f>A27+1</f>
        <v/>
      </c>
      <c r="B28" s="22">
        <f>IF('دریافت‌ها'!C27="","",'دریافت‌ها'!A27)</f>
        <v/>
      </c>
      <c r="C28" s="4">
        <f>IF('دریافت‌ها'!C27="","","دریافت از واحد")</f>
        <v/>
      </c>
      <c r="D28" s="22">
        <f>IF('دریافت‌ها'!C27="","",'دریافت‌ها'!B27)</f>
        <v/>
      </c>
      <c r="E28" s="22">
        <f>IF('دریافت‌ها'!C27="","",'دریافت‌ها'!E27&amp;"")</f>
        <v/>
      </c>
      <c r="F28" s="19">
        <f>N('دریافت‌ها'!C27)</f>
        <v/>
      </c>
      <c r="G28" s="20" t="n">
        <v>0</v>
      </c>
      <c r="H28" s="20">
        <f>H27+F28-G28</f>
        <v/>
      </c>
    </row>
    <row r="29">
      <c r="A29" s="10">
        <f>A28+1</f>
        <v/>
      </c>
      <c r="B29" s="22">
        <f>IF('دریافت‌ها'!C28="","",'دریافت‌ها'!A28)</f>
        <v/>
      </c>
      <c r="C29" s="4">
        <f>IF('دریافت‌ها'!C28="","","دریافت از واحد")</f>
        <v/>
      </c>
      <c r="D29" s="22">
        <f>IF('دریافت‌ها'!C28="","",'دریافت‌ها'!B28)</f>
        <v/>
      </c>
      <c r="E29" s="22">
        <f>IF('دریافت‌ها'!C28="","",'دریافت‌ها'!E28&amp;"")</f>
        <v/>
      </c>
      <c r="F29" s="19">
        <f>N('دریافت‌ها'!C28)</f>
        <v/>
      </c>
      <c r="G29" s="20" t="n">
        <v>0</v>
      </c>
      <c r="H29" s="20">
        <f>H28+F29-G29</f>
        <v/>
      </c>
    </row>
    <row r="30">
      <c r="A30" s="10">
        <f>A29+1</f>
        <v/>
      </c>
      <c r="B30" s="22">
        <f>IF('دریافت‌ها'!C29="","",'دریافت‌ها'!A29)</f>
        <v/>
      </c>
      <c r="C30" s="4">
        <f>IF('دریافت‌ها'!C29="","","دریافت از واحد")</f>
        <v/>
      </c>
      <c r="D30" s="22">
        <f>IF('دریافت‌ها'!C29="","",'دریافت‌ها'!B29)</f>
        <v/>
      </c>
      <c r="E30" s="22">
        <f>IF('دریافت‌ها'!C29="","",'دریافت‌ها'!E29&amp;"")</f>
        <v/>
      </c>
      <c r="F30" s="19">
        <f>N('دریافت‌ها'!C29)</f>
        <v/>
      </c>
      <c r="G30" s="20" t="n">
        <v>0</v>
      </c>
      <c r="H30" s="20">
        <f>H29+F30-G30</f>
        <v/>
      </c>
    </row>
    <row r="31">
      <c r="A31" s="10">
        <f>A30+1</f>
        <v/>
      </c>
      <c r="B31" s="22">
        <f>IF('دریافت‌ها'!C30="","",'دریافت‌ها'!A30)</f>
        <v/>
      </c>
      <c r="C31" s="4">
        <f>IF('دریافت‌ها'!C30="","","دریافت از واحد")</f>
        <v/>
      </c>
      <c r="D31" s="22">
        <f>IF('دریافت‌ها'!C30="","",'دریافت‌ها'!B30)</f>
        <v/>
      </c>
      <c r="E31" s="22">
        <f>IF('دریافت‌ها'!C30="","",'دریافت‌ها'!E30&amp;"")</f>
        <v/>
      </c>
      <c r="F31" s="19">
        <f>N('دریافت‌ها'!C30)</f>
        <v/>
      </c>
      <c r="G31" s="20" t="n">
        <v>0</v>
      </c>
      <c r="H31" s="20">
        <f>H30+F31-G31</f>
        <v/>
      </c>
    </row>
    <row r="32">
      <c r="A32" s="10">
        <f>A31+1</f>
        <v/>
      </c>
      <c r="B32" s="22">
        <f>IF('دریافت‌ها'!C31="","",'دریافت‌ها'!A31)</f>
        <v/>
      </c>
      <c r="C32" s="4">
        <f>IF('دریافت‌ها'!C31="","","دریافت از واحد")</f>
        <v/>
      </c>
      <c r="D32" s="22">
        <f>IF('دریافت‌ها'!C31="","",'دریافت‌ها'!B31)</f>
        <v/>
      </c>
      <c r="E32" s="22">
        <f>IF('دریافت‌ها'!C31="","",'دریافت‌ها'!E31&amp;"")</f>
        <v/>
      </c>
      <c r="F32" s="19">
        <f>N('دریافت‌ها'!C31)</f>
        <v/>
      </c>
      <c r="G32" s="20" t="n">
        <v>0</v>
      </c>
      <c r="H32" s="20">
        <f>H31+F32-G32</f>
        <v/>
      </c>
    </row>
    <row r="33">
      <c r="A33" s="10">
        <f>A32+1</f>
        <v/>
      </c>
      <c r="B33" s="22">
        <f>IF('دریافت‌ها'!C32="","",'دریافت‌ها'!A32)</f>
        <v/>
      </c>
      <c r="C33" s="4">
        <f>IF('دریافت‌ها'!C32="","","دریافت از واحد")</f>
        <v/>
      </c>
      <c r="D33" s="22">
        <f>IF('دریافت‌ها'!C32="","",'دریافت‌ها'!B32)</f>
        <v/>
      </c>
      <c r="E33" s="22">
        <f>IF('دریافت‌ها'!C32="","",'دریافت‌ها'!E32&amp;"")</f>
        <v/>
      </c>
      <c r="F33" s="19">
        <f>N('دریافت‌ها'!C32)</f>
        <v/>
      </c>
      <c r="G33" s="20" t="n">
        <v>0</v>
      </c>
      <c r="H33" s="20">
        <f>H32+F33-G33</f>
        <v/>
      </c>
    </row>
    <row r="34">
      <c r="A34" s="10">
        <f>A33+1</f>
        <v/>
      </c>
      <c r="B34" s="22">
        <f>IF('دریافت‌ها'!C33="","",'دریافت‌ها'!A33)</f>
        <v/>
      </c>
      <c r="C34" s="4">
        <f>IF('دریافت‌ها'!C33="","","دریافت از واحد")</f>
        <v/>
      </c>
      <c r="D34" s="22">
        <f>IF('دریافت‌ها'!C33="","",'دریافت‌ها'!B33)</f>
        <v/>
      </c>
      <c r="E34" s="22">
        <f>IF('دریافت‌ها'!C33="","",'دریافت‌ها'!E33&amp;"")</f>
        <v/>
      </c>
      <c r="F34" s="19">
        <f>N('دریافت‌ها'!C33)</f>
        <v/>
      </c>
      <c r="G34" s="20" t="n">
        <v>0</v>
      </c>
      <c r="H34" s="20">
        <f>H33+F34-G34</f>
        <v/>
      </c>
    </row>
    <row r="35">
      <c r="A35" s="10">
        <f>A34+1</f>
        <v/>
      </c>
      <c r="B35" s="22">
        <f>IF('دریافت‌ها'!C34="","",'دریافت‌ها'!A34)</f>
        <v/>
      </c>
      <c r="C35" s="4">
        <f>IF('دریافت‌ها'!C34="","","دریافت از واحد")</f>
        <v/>
      </c>
      <c r="D35" s="22">
        <f>IF('دریافت‌ها'!C34="","",'دریافت‌ها'!B34)</f>
        <v/>
      </c>
      <c r="E35" s="22">
        <f>IF('دریافت‌ها'!C34="","",'دریافت‌ها'!E34&amp;"")</f>
        <v/>
      </c>
      <c r="F35" s="19">
        <f>N('دریافت‌ها'!C34)</f>
        <v/>
      </c>
      <c r="G35" s="20" t="n">
        <v>0</v>
      </c>
      <c r="H35" s="20">
        <f>H34+F35-G35</f>
        <v/>
      </c>
    </row>
    <row r="36">
      <c r="A36" s="10">
        <f>A35+1</f>
        <v/>
      </c>
      <c r="B36" s="22">
        <f>IF('پرداخت‌ها'!C5="","",'پرداخت‌ها'!A5)</f>
        <v/>
      </c>
      <c r="C36" s="4">
        <f>IF('پرداخت‌ها'!C5="","","پرداخت به تامین‌کننده")</f>
        <v/>
      </c>
      <c r="D36" s="22">
        <f>IF('پرداخت‌ها'!C5="","",'پرداخت‌ها'!D5)</f>
        <v/>
      </c>
      <c r="E36" s="22">
        <f>IF('پرداخت‌ها'!C5="","",'پرداخت‌ها'!B5&amp;" / "&amp;'پرداخت‌ها'!E5)</f>
        <v/>
      </c>
      <c r="F36" s="20" t="n">
        <v>0</v>
      </c>
      <c r="G36" s="19">
        <f>N('پرداخت‌ها'!C5)</f>
        <v/>
      </c>
      <c r="H36" s="20">
        <f>H35+F36-G36</f>
        <v/>
      </c>
    </row>
    <row r="37">
      <c r="A37" s="10">
        <f>A36+1</f>
        <v/>
      </c>
      <c r="B37" s="22">
        <f>IF('پرداخت‌ها'!C6="","",'پرداخت‌ها'!A6)</f>
        <v/>
      </c>
      <c r="C37" s="4">
        <f>IF('پرداخت‌ها'!C6="","","پرداخت به تامین‌کننده")</f>
        <v/>
      </c>
      <c r="D37" s="22">
        <f>IF('پرداخت‌ها'!C6="","",'پرداخت‌ها'!D6)</f>
        <v/>
      </c>
      <c r="E37" s="22">
        <f>IF('پرداخت‌ها'!C6="","",'پرداخت‌ها'!B6&amp;" / "&amp;'پرداخت‌ها'!E6)</f>
        <v/>
      </c>
      <c r="F37" s="20" t="n">
        <v>0</v>
      </c>
      <c r="G37" s="19">
        <f>N('پرداخت‌ها'!C6)</f>
        <v/>
      </c>
      <c r="H37" s="20">
        <f>H36+F37-G37</f>
        <v/>
      </c>
    </row>
    <row r="38">
      <c r="A38" s="10">
        <f>A37+1</f>
        <v/>
      </c>
      <c r="B38" s="22">
        <f>IF('پرداخت‌ها'!C7="","",'پرداخت‌ها'!A7)</f>
        <v/>
      </c>
      <c r="C38" s="4">
        <f>IF('پرداخت‌ها'!C7="","","پرداخت به تامین‌کننده")</f>
        <v/>
      </c>
      <c r="D38" s="22">
        <f>IF('پرداخت‌ها'!C7="","",'پرداخت‌ها'!D7)</f>
        <v/>
      </c>
      <c r="E38" s="22">
        <f>IF('پرداخت‌ها'!C7="","",'پرداخت‌ها'!B7&amp;" / "&amp;'پرداخت‌ها'!E7)</f>
        <v/>
      </c>
      <c r="F38" s="20" t="n">
        <v>0</v>
      </c>
      <c r="G38" s="19">
        <f>N('پرداخت‌ها'!C7)</f>
        <v/>
      </c>
      <c r="H38" s="20">
        <f>H37+F38-G38</f>
        <v/>
      </c>
    </row>
    <row r="39">
      <c r="A39" s="10">
        <f>A38+1</f>
        <v/>
      </c>
      <c r="B39" s="22">
        <f>IF('پرداخت‌ها'!C8="","",'پرداخت‌ها'!A8)</f>
        <v/>
      </c>
      <c r="C39" s="4">
        <f>IF('پرداخت‌ها'!C8="","","پرداخت به تامین‌کننده")</f>
        <v/>
      </c>
      <c r="D39" s="22">
        <f>IF('پرداخت‌ها'!C8="","",'پرداخت‌ها'!D8)</f>
        <v/>
      </c>
      <c r="E39" s="22">
        <f>IF('پرداخت‌ها'!C8="","",'پرداخت‌ها'!B8&amp;" / "&amp;'پرداخت‌ها'!E8)</f>
        <v/>
      </c>
      <c r="F39" s="20" t="n">
        <v>0</v>
      </c>
      <c r="G39" s="19">
        <f>N('پرداخت‌ها'!C8)</f>
        <v/>
      </c>
      <c r="H39" s="20">
        <f>H38+F39-G39</f>
        <v/>
      </c>
    </row>
    <row r="40">
      <c r="A40" s="10">
        <f>A39+1</f>
        <v/>
      </c>
      <c r="B40" s="22">
        <f>IF('پرداخت‌ها'!C9="","",'پرداخت‌ها'!A9)</f>
        <v/>
      </c>
      <c r="C40" s="4">
        <f>IF('پرداخت‌ها'!C9="","","پرداخت به تامین‌کننده")</f>
        <v/>
      </c>
      <c r="D40" s="22">
        <f>IF('پرداخت‌ها'!C9="","",'پرداخت‌ها'!D9)</f>
        <v/>
      </c>
      <c r="E40" s="22">
        <f>IF('پرداخت‌ها'!C9="","",'پرداخت‌ها'!B9&amp;" / "&amp;'پرداخت‌ها'!E9)</f>
        <v/>
      </c>
      <c r="F40" s="20" t="n">
        <v>0</v>
      </c>
      <c r="G40" s="19">
        <f>N('پرداخت‌ها'!C9)</f>
        <v/>
      </c>
      <c r="H40" s="20">
        <f>H39+F40-G40</f>
        <v/>
      </c>
    </row>
    <row r="41">
      <c r="A41" s="10">
        <f>A40+1</f>
        <v/>
      </c>
      <c r="B41" s="22">
        <f>IF('پرداخت‌ها'!C10="","",'پرداخت‌ها'!A10)</f>
        <v/>
      </c>
      <c r="C41" s="4">
        <f>IF('پرداخت‌ها'!C10="","","پرداخت به تامین‌کننده")</f>
        <v/>
      </c>
      <c r="D41" s="22">
        <f>IF('پرداخت‌ها'!C10="","",'پرداخت‌ها'!D10)</f>
        <v/>
      </c>
      <c r="E41" s="22">
        <f>IF('پرداخت‌ها'!C10="","",'پرداخت‌ها'!B10&amp;" / "&amp;'پرداخت‌ها'!E10)</f>
        <v/>
      </c>
      <c r="F41" s="20" t="n">
        <v>0</v>
      </c>
      <c r="G41" s="19">
        <f>N('پرداخت‌ها'!C10)</f>
        <v/>
      </c>
      <c r="H41" s="20">
        <f>H40+F41-G41</f>
        <v/>
      </c>
    </row>
    <row r="42">
      <c r="A42" s="10">
        <f>A41+1</f>
        <v/>
      </c>
      <c r="B42" s="22">
        <f>IF('پرداخت‌ها'!C11="","",'پرداخت‌ها'!A11)</f>
        <v/>
      </c>
      <c r="C42" s="4">
        <f>IF('پرداخت‌ها'!C11="","","پرداخت به تامین‌کننده")</f>
        <v/>
      </c>
      <c r="D42" s="22">
        <f>IF('پرداخت‌ها'!C11="","",'پرداخت‌ها'!D11)</f>
        <v/>
      </c>
      <c r="E42" s="22">
        <f>IF('پرداخت‌ها'!C11="","",'پرداخت‌ها'!B11&amp;" / "&amp;'پرداخت‌ها'!E11)</f>
        <v/>
      </c>
      <c r="F42" s="20" t="n">
        <v>0</v>
      </c>
      <c r="G42" s="19">
        <f>N('پرداخت‌ها'!C11)</f>
        <v/>
      </c>
      <c r="H42" s="20">
        <f>H41+F42-G42</f>
        <v/>
      </c>
    </row>
    <row r="43">
      <c r="A43" s="10">
        <f>A42+1</f>
        <v/>
      </c>
      <c r="B43" s="22">
        <f>IF('پرداخت‌ها'!C12="","",'پرداخت‌ها'!A12)</f>
        <v/>
      </c>
      <c r="C43" s="4">
        <f>IF('پرداخت‌ها'!C12="","","پرداخت به تامین‌کننده")</f>
        <v/>
      </c>
      <c r="D43" s="22">
        <f>IF('پرداخت‌ها'!C12="","",'پرداخت‌ها'!D12)</f>
        <v/>
      </c>
      <c r="E43" s="22">
        <f>IF('پرداخت‌ها'!C12="","",'پرداخت‌ها'!B12&amp;" / "&amp;'پرداخت‌ها'!E12)</f>
        <v/>
      </c>
      <c r="F43" s="20" t="n">
        <v>0</v>
      </c>
      <c r="G43" s="19">
        <f>N('پرداخت‌ها'!C12)</f>
        <v/>
      </c>
      <c r="H43" s="20">
        <f>H42+F43-G43</f>
        <v/>
      </c>
    </row>
    <row r="44">
      <c r="A44" s="10">
        <f>A43+1</f>
        <v/>
      </c>
      <c r="B44" s="22">
        <f>IF('پرداخت‌ها'!C13="","",'پرداخت‌ها'!A13)</f>
        <v/>
      </c>
      <c r="C44" s="4">
        <f>IF('پرداخت‌ها'!C13="","","پرداخت به تامین‌کننده")</f>
        <v/>
      </c>
      <c r="D44" s="22">
        <f>IF('پرداخت‌ها'!C13="","",'پرداخت‌ها'!D13)</f>
        <v/>
      </c>
      <c r="E44" s="22">
        <f>IF('پرداخت‌ها'!C13="","",'پرداخت‌ها'!B13&amp;" / "&amp;'پرداخت‌ها'!E13)</f>
        <v/>
      </c>
      <c r="F44" s="20" t="n">
        <v>0</v>
      </c>
      <c r="G44" s="19">
        <f>N('پرداخت‌ها'!C13)</f>
        <v/>
      </c>
      <c r="H44" s="20">
        <f>H43+F44-G44</f>
        <v/>
      </c>
    </row>
    <row r="45">
      <c r="A45" s="10">
        <f>A44+1</f>
        <v/>
      </c>
      <c r="B45" s="22">
        <f>IF('پرداخت‌ها'!C14="","",'پرداخت‌ها'!A14)</f>
        <v/>
      </c>
      <c r="C45" s="4">
        <f>IF('پرداخت‌ها'!C14="","","پرداخت به تامین‌کننده")</f>
        <v/>
      </c>
      <c r="D45" s="22">
        <f>IF('پرداخت‌ها'!C14="","",'پرداخت‌ها'!D14)</f>
        <v/>
      </c>
      <c r="E45" s="22">
        <f>IF('پرداخت‌ها'!C14="","",'پرداخت‌ها'!B14&amp;" / "&amp;'پرداخت‌ها'!E14)</f>
        <v/>
      </c>
      <c r="F45" s="20" t="n">
        <v>0</v>
      </c>
      <c r="G45" s="19">
        <f>N('پرداخت‌ها'!C14)</f>
        <v/>
      </c>
      <c r="H45" s="20">
        <f>H44+F45-G45</f>
        <v/>
      </c>
    </row>
    <row r="46">
      <c r="A46" s="10">
        <f>A45+1</f>
        <v/>
      </c>
      <c r="B46" s="22">
        <f>IF('پرداخت‌ها'!C15="","",'پرداخت‌ها'!A15)</f>
        <v/>
      </c>
      <c r="C46" s="4">
        <f>IF('پرداخت‌ها'!C15="","","پرداخت به تامین‌کننده")</f>
        <v/>
      </c>
      <c r="D46" s="22">
        <f>IF('پرداخت‌ها'!C15="","",'پرداخت‌ها'!D15)</f>
        <v/>
      </c>
      <c r="E46" s="22">
        <f>IF('پرداخت‌ها'!C15="","",'پرداخت‌ها'!B15&amp;" / "&amp;'پرداخت‌ها'!E15)</f>
        <v/>
      </c>
      <c r="F46" s="20" t="n">
        <v>0</v>
      </c>
      <c r="G46" s="19">
        <f>N('پرداخت‌ها'!C15)</f>
        <v/>
      </c>
      <c r="H46" s="20">
        <f>H45+F46-G46</f>
        <v/>
      </c>
    </row>
    <row r="47">
      <c r="A47" s="10">
        <f>A46+1</f>
        <v/>
      </c>
      <c r="B47" s="22">
        <f>IF('پرداخت‌ها'!C16="","",'پرداخت‌ها'!A16)</f>
        <v/>
      </c>
      <c r="C47" s="4">
        <f>IF('پرداخت‌ها'!C16="","","پرداخت به تامین‌کننده")</f>
        <v/>
      </c>
      <c r="D47" s="22">
        <f>IF('پرداخت‌ها'!C16="","",'پرداخت‌ها'!D16)</f>
        <v/>
      </c>
      <c r="E47" s="22">
        <f>IF('پرداخت‌ها'!C16="","",'پرداخت‌ها'!B16&amp;" / "&amp;'پرداخت‌ها'!E16)</f>
        <v/>
      </c>
      <c r="F47" s="20" t="n">
        <v>0</v>
      </c>
      <c r="G47" s="19">
        <f>N('پرداخت‌ها'!C16)</f>
        <v/>
      </c>
      <c r="H47" s="20">
        <f>H46+F47-G47</f>
        <v/>
      </c>
    </row>
    <row r="48">
      <c r="A48" s="10">
        <f>A47+1</f>
        <v/>
      </c>
      <c r="B48" s="22">
        <f>IF('پرداخت‌ها'!C17="","",'پرداخت‌ها'!A17)</f>
        <v/>
      </c>
      <c r="C48" s="4">
        <f>IF('پرداخت‌ها'!C17="","","پرداخت به تامین‌کننده")</f>
        <v/>
      </c>
      <c r="D48" s="22">
        <f>IF('پرداخت‌ها'!C17="","",'پرداخت‌ها'!D17)</f>
        <v/>
      </c>
      <c r="E48" s="22">
        <f>IF('پرداخت‌ها'!C17="","",'پرداخت‌ها'!B17&amp;" / "&amp;'پرداخت‌ها'!E17)</f>
        <v/>
      </c>
      <c r="F48" s="20" t="n">
        <v>0</v>
      </c>
      <c r="G48" s="19">
        <f>N('پرداخت‌ها'!C17)</f>
        <v/>
      </c>
      <c r="H48" s="20">
        <f>H47+F48-G48</f>
        <v/>
      </c>
    </row>
    <row r="49">
      <c r="A49" s="10">
        <f>A48+1</f>
        <v/>
      </c>
      <c r="B49" s="22">
        <f>IF('پرداخت‌ها'!C18="","",'پرداخت‌ها'!A18)</f>
        <v/>
      </c>
      <c r="C49" s="4">
        <f>IF('پرداخت‌ها'!C18="","","پرداخت به تامین‌کننده")</f>
        <v/>
      </c>
      <c r="D49" s="22">
        <f>IF('پرداخت‌ها'!C18="","",'پرداخت‌ها'!D18)</f>
        <v/>
      </c>
      <c r="E49" s="22">
        <f>IF('پرداخت‌ها'!C18="","",'پرداخت‌ها'!B18&amp;" / "&amp;'پرداخت‌ها'!E18)</f>
        <v/>
      </c>
      <c r="F49" s="20" t="n">
        <v>0</v>
      </c>
      <c r="G49" s="19">
        <f>N('پرداخت‌ها'!C18)</f>
        <v/>
      </c>
      <c r="H49" s="20">
        <f>H48+F49-G49</f>
        <v/>
      </c>
    </row>
    <row r="50">
      <c r="A50" s="10">
        <f>A49+1</f>
        <v/>
      </c>
      <c r="B50" s="22">
        <f>IF('پرداخت‌ها'!C19="","",'پرداخت‌ها'!A19)</f>
        <v/>
      </c>
      <c r="C50" s="4">
        <f>IF('پرداخت‌ها'!C19="","","پرداخت به تامین‌کننده")</f>
        <v/>
      </c>
      <c r="D50" s="22">
        <f>IF('پرداخت‌ها'!C19="","",'پرداخت‌ها'!D19)</f>
        <v/>
      </c>
      <c r="E50" s="22">
        <f>IF('پرداخت‌ها'!C19="","",'پرداخت‌ها'!B19&amp;" / "&amp;'پرداخت‌ها'!E19)</f>
        <v/>
      </c>
      <c r="F50" s="20" t="n">
        <v>0</v>
      </c>
      <c r="G50" s="19">
        <f>N('پرداخت‌ها'!C19)</f>
        <v/>
      </c>
      <c r="H50" s="20">
        <f>H49+F50-G50</f>
        <v/>
      </c>
    </row>
    <row r="51">
      <c r="A51" s="10">
        <f>A50+1</f>
        <v/>
      </c>
      <c r="B51" s="22">
        <f>IF('پرداخت‌ها'!C20="","",'پرداخت‌ها'!A20)</f>
        <v/>
      </c>
      <c r="C51" s="4">
        <f>IF('پرداخت‌ها'!C20="","","پرداخت به تامین‌کننده")</f>
        <v/>
      </c>
      <c r="D51" s="22">
        <f>IF('پرداخت‌ها'!C20="","",'پرداخت‌ها'!D20)</f>
        <v/>
      </c>
      <c r="E51" s="22">
        <f>IF('پرداخت‌ها'!C20="","",'پرداخت‌ها'!B20&amp;" / "&amp;'پرداخت‌ها'!E20)</f>
        <v/>
      </c>
      <c r="F51" s="20" t="n">
        <v>0</v>
      </c>
      <c r="G51" s="19">
        <f>N('پرداخت‌ها'!C20)</f>
        <v/>
      </c>
      <c r="H51" s="20">
        <f>H50+F51-G51</f>
        <v/>
      </c>
    </row>
    <row r="52">
      <c r="A52" s="10">
        <f>A51+1</f>
        <v/>
      </c>
      <c r="B52" s="22">
        <f>IF('پرداخت‌ها'!C21="","",'پرداخت‌ها'!A21)</f>
        <v/>
      </c>
      <c r="C52" s="4">
        <f>IF('پرداخت‌ها'!C21="","","پرداخت به تامین‌کننده")</f>
        <v/>
      </c>
      <c r="D52" s="22">
        <f>IF('پرداخت‌ها'!C21="","",'پرداخت‌ها'!D21)</f>
        <v/>
      </c>
      <c r="E52" s="22">
        <f>IF('پرداخت‌ها'!C21="","",'پرداخت‌ها'!B21&amp;" / "&amp;'پرداخت‌ها'!E21)</f>
        <v/>
      </c>
      <c r="F52" s="20" t="n">
        <v>0</v>
      </c>
      <c r="G52" s="19">
        <f>N('پرداخت‌ها'!C21)</f>
        <v/>
      </c>
      <c r="H52" s="20">
        <f>H51+F52-G52</f>
        <v/>
      </c>
    </row>
    <row r="53">
      <c r="A53" s="10">
        <f>A52+1</f>
        <v/>
      </c>
      <c r="B53" s="22">
        <f>IF('پرداخت‌ها'!C22="","",'پرداخت‌ها'!A22)</f>
        <v/>
      </c>
      <c r="C53" s="4">
        <f>IF('پرداخت‌ها'!C22="","","پرداخت به تامین‌کننده")</f>
        <v/>
      </c>
      <c r="D53" s="22">
        <f>IF('پرداخت‌ها'!C22="","",'پرداخت‌ها'!D22)</f>
        <v/>
      </c>
      <c r="E53" s="22">
        <f>IF('پرداخت‌ها'!C22="","",'پرداخت‌ها'!B22&amp;" / "&amp;'پرداخت‌ها'!E22)</f>
        <v/>
      </c>
      <c r="F53" s="20" t="n">
        <v>0</v>
      </c>
      <c r="G53" s="19">
        <f>N('پرداخت‌ها'!C22)</f>
        <v/>
      </c>
      <c r="H53" s="20">
        <f>H52+F53-G53</f>
        <v/>
      </c>
    </row>
    <row r="54">
      <c r="A54" s="10">
        <f>A53+1</f>
        <v/>
      </c>
      <c r="B54" s="22">
        <f>IF('پرداخت‌ها'!C23="","",'پرداخت‌ها'!A23)</f>
        <v/>
      </c>
      <c r="C54" s="4">
        <f>IF('پرداخت‌ها'!C23="","","پرداخت به تامین‌کننده")</f>
        <v/>
      </c>
      <c r="D54" s="22">
        <f>IF('پرداخت‌ها'!C23="","",'پرداخت‌ها'!D23)</f>
        <v/>
      </c>
      <c r="E54" s="22">
        <f>IF('پرداخت‌ها'!C23="","",'پرداخت‌ها'!B23&amp;" / "&amp;'پرداخت‌ها'!E23)</f>
        <v/>
      </c>
      <c r="F54" s="20" t="n">
        <v>0</v>
      </c>
      <c r="G54" s="19">
        <f>N('پرداخت‌ها'!C23)</f>
        <v/>
      </c>
      <c r="H54" s="20">
        <f>H53+F54-G54</f>
        <v/>
      </c>
    </row>
    <row r="55">
      <c r="A55" s="10">
        <f>A54+1</f>
        <v/>
      </c>
      <c r="B55" s="22">
        <f>IF('پرداخت‌ها'!C24="","",'پرداخت‌ها'!A24)</f>
        <v/>
      </c>
      <c r="C55" s="4">
        <f>IF('پرداخت‌ها'!C24="","","پرداخت به تامین‌کننده")</f>
        <v/>
      </c>
      <c r="D55" s="22">
        <f>IF('پرداخت‌ها'!C24="","",'پرداخت‌ها'!D24)</f>
        <v/>
      </c>
      <c r="E55" s="22">
        <f>IF('پرداخت‌ها'!C24="","",'پرداخت‌ها'!B24&amp;" / "&amp;'پرداخت‌ها'!E24)</f>
        <v/>
      </c>
      <c r="F55" s="20" t="n">
        <v>0</v>
      </c>
      <c r="G55" s="19">
        <f>N('پرداخت‌ها'!C24)</f>
        <v/>
      </c>
      <c r="H55" s="20">
        <f>H54+F55-G55</f>
        <v/>
      </c>
    </row>
    <row r="56">
      <c r="A56" s="10">
        <f>A55+1</f>
        <v/>
      </c>
      <c r="B56" s="22">
        <f>IF('پرداخت‌ها'!C25="","",'پرداخت‌ها'!A25)</f>
        <v/>
      </c>
      <c r="C56" s="4">
        <f>IF('پرداخت‌ها'!C25="","","پرداخت به تامین‌کننده")</f>
        <v/>
      </c>
      <c r="D56" s="22">
        <f>IF('پرداخت‌ها'!C25="","",'پرداخت‌ها'!D25)</f>
        <v/>
      </c>
      <c r="E56" s="22">
        <f>IF('پرداخت‌ها'!C25="","",'پرداخت‌ها'!B25&amp;" / "&amp;'پرداخت‌ها'!E25)</f>
        <v/>
      </c>
      <c r="F56" s="20" t="n">
        <v>0</v>
      </c>
      <c r="G56" s="19">
        <f>N('پرداخت‌ها'!C25)</f>
        <v/>
      </c>
      <c r="H56" s="20">
        <f>H55+F56-G56</f>
        <v/>
      </c>
    </row>
    <row r="57">
      <c r="A57" s="10">
        <f>A56+1</f>
        <v/>
      </c>
      <c r="B57" s="22">
        <f>IF('پرداخت‌ها'!C26="","",'پرداخت‌ها'!A26)</f>
        <v/>
      </c>
      <c r="C57" s="4">
        <f>IF('پرداخت‌ها'!C26="","","پرداخت به تامین‌کننده")</f>
        <v/>
      </c>
      <c r="D57" s="22">
        <f>IF('پرداخت‌ها'!C26="","",'پرداخت‌ها'!D26)</f>
        <v/>
      </c>
      <c r="E57" s="22">
        <f>IF('پرداخت‌ها'!C26="","",'پرداخت‌ها'!B26&amp;" / "&amp;'پرداخت‌ها'!E26)</f>
        <v/>
      </c>
      <c r="F57" s="20" t="n">
        <v>0</v>
      </c>
      <c r="G57" s="19">
        <f>N('پرداخت‌ها'!C26)</f>
        <v/>
      </c>
      <c r="H57" s="20">
        <f>H56+F57-G57</f>
        <v/>
      </c>
    </row>
    <row r="58">
      <c r="A58" s="10">
        <f>A57+1</f>
        <v/>
      </c>
      <c r="B58" s="22">
        <f>IF('پرداخت‌ها'!C27="","",'پرداخت‌ها'!A27)</f>
        <v/>
      </c>
      <c r="C58" s="4">
        <f>IF('پرداخت‌ها'!C27="","","پرداخت به تامین‌کننده")</f>
        <v/>
      </c>
      <c r="D58" s="22">
        <f>IF('پرداخت‌ها'!C27="","",'پرداخت‌ها'!D27)</f>
        <v/>
      </c>
      <c r="E58" s="22">
        <f>IF('پرداخت‌ها'!C27="","",'پرداخت‌ها'!B27&amp;" / "&amp;'پرداخت‌ها'!E27)</f>
        <v/>
      </c>
      <c r="F58" s="20" t="n">
        <v>0</v>
      </c>
      <c r="G58" s="19">
        <f>N('پرداخت‌ها'!C27)</f>
        <v/>
      </c>
      <c r="H58" s="20">
        <f>H57+F58-G58</f>
        <v/>
      </c>
    </row>
    <row r="59">
      <c r="A59" s="10">
        <f>A58+1</f>
        <v/>
      </c>
      <c r="B59" s="22">
        <f>IF('پرداخت‌ها'!C28="","",'پرداخت‌ها'!A28)</f>
        <v/>
      </c>
      <c r="C59" s="4">
        <f>IF('پرداخت‌ها'!C28="","","پرداخت به تامین‌کننده")</f>
        <v/>
      </c>
      <c r="D59" s="22">
        <f>IF('پرداخت‌ها'!C28="","",'پرداخت‌ها'!D28)</f>
        <v/>
      </c>
      <c r="E59" s="22">
        <f>IF('پرداخت‌ها'!C28="","",'پرداخت‌ها'!B28&amp;" / "&amp;'پرداخت‌ها'!E28)</f>
        <v/>
      </c>
      <c r="F59" s="20" t="n">
        <v>0</v>
      </c>
      <c r="G59" s="19">
        <f>N('پرداخت‌ها'!C28)</f>
        <v/>
      </c>
      <c r="H59" s="20">
        <f>H58+F59-G59</f>
        <v/>
      </c>
    </row>
    <row r="60">
      <c r="A60" s="10">
        <f>A59+1</f>
        <v/>
      </c>
      <c r="B60" s="22">
        <f>IF('پرداخت‌ها'!C29="","",'پرداخت‌ها'!A29)</f>
        <v/>
      </c>
      <c r="C60" s="4">
        <f>IF('پرداخت‌ها'!C29="","","پرداخت به تامین‌کننده")</f>
        <v/>
      </c>
      <c r="D60" s="22">
        <f>IF('پرداخت‌ها'!C29="","",'پرداخت‌ها'!D29)</f>
        <v/>
      </c>
      <c r="E60" s="22">
        <f>IF('پرداخت‌ها'!C29="","",'پرداخت‌ها'!B29&amp;" / "&amp;'پرداخت‌ها'!E29)</f>
        <v/>
      </c>
      <c r="F60" s="20" t="n">
        <v>0</v>
      </c>
      <c r="G60" s="19">
        <f>N('پرداخت‌ها'!C29)</f>
        <v/>
      </c>
      <c r="H60" s="20">
        <f>H59+F60-G60</f>
        <v/>
      </c>
    </row>
    <row r="61">
      <c r="A61" s="10">
        <f>A60+1</f>
        <v/>
      </c>
      <c r="B61" s="22">
        <f>IF('پرداخت‌ها'!C30="","",'پرداخت‌ها'!A30)</f>
        <v/>
      </c>
      <c r="C61" s="4">
        <f>IF('پرداخت‌ها'!C30="","","پرداخت به تامین‌کننده")</f>
        <v/>
      </c>
      <c r="D61" s="22">
        <f>IF('پرداخت‌ها'!C30="","",'پرداخت‌ها'!D30)</f>
        <v/>
      </c>
      <c r="E61" s="22">
        <f>IF('پرداخت‌ها'!C30="","",'پرداخت‌ها'!B30&amp;" / "&amp;'پرداخت‌ها'!E30)</f>
        <v/>
      </c>
      <c r="F61" s="20" t="n">
        <v>0</v>
      </c>
      <c r="G61" s="19">
        <f>N('پرداخت‌ها'!C30)</f>
        <v/>
      </c>
      <c r="H61" s="20">
        <f>H60+F61-G61</f>
        <v/>
      </c>
    </row>
    <row r="62">
      <c r="A62" s="10">
        <f>A61+1</f>
        <v/>
      </c>
      <c r="B62" s="22">
        <f>IF('پرداخت‌ها'!C31="","",'پرداخت‌ها'!A31)</f>
        <v/>
      </c>
      <c r="C62" s="4">
        <f>IF('پرداخت‌ها'!C31="","","پرداخت به تامین‌کننده")</f>
        <v/>
      </c>
      <c r="D62" s="22">
        <f>IF('پرداخت‌ها'!C31="","",'پرداخت‌ها'!D31)</f>
        <v/>
      </c>
      <c r="E62" s="22">
        <f>IF('پرداخت‌ها'!C31="","",'پرداخت‌ها'!B31&amp;" / "&amp;'پرداخت‌ها'!E31)</f>
        <v/>
      </c>
      <c r="F62" s="20" t="n">
        <v>0</v>
      </c>
      <c r="G62" s="19">
        <f>N('پرداخت‌ها'!C31)</f>
        <v/>
      </c>
      <c r="H62" s="20">
        <f>H61+F62-G62</f>
        <v/>
      </c>
    </row>
    <row r="63">
      <c r="A63" s="10">
        <f>A62+1</f>
        <v/>
      </c>
      <c r="B63" s="22">
        <f>IF('پرداخت‌ها'!C32="","",'پرداخت‌ها'!A32)</f>
        <v/>
      </c>
      <c r="C63" s="4">
        <f>IF('پرداخت‌ها'!C32="","","پرداخت به تامین‌کننده")</f>
        <v/>
      </c>
      <c r="D63" s="22">
        <f>IF('پرداخت‌ها'!C32="","",'پرداخت‌ها'!D32)</f>
        <v/>
      </c>
      <c r="E63" s="22">
        <f>IF('پرداخت‌ها'!C32="","",'پرداخت‌ها'!B32&amp;" / "&amp;'پرداخت‌ها'!E32)</f>
        <v/>
      </c>
      <c r="F63" s="20" t="n">
        <v>0</v>
      </c>
      <c r="G63" s="19">
        <f>N('پرداخت‌ها'!C32)</f>
        <v/>
      </c>
      <c r="H63" s="20">
        <f>H62+F63-G63</f>
        <v/>
      </c>
    </row>
    <row r="64">
      <c r="A64" s="10">
        <f>A63+1</f>
        <v/>
      </c>
      <c r="B64" s="22">
        <f>IF('پرداخت‌ها'!C33="","",'پرداخت‌ها'!A33)</f>
        <v/>
      </c>
      <c r="C64" s="4">
        <f>IF('پرداخت‌ها'!C33="","","پرداخت به تامین‌کننده")</f>
        <v/>
      </c>
      <c r="D64" s="22">
        <f>IF('پرداخت‌ها'!C33="","",'پرداخت‌ها'!D33)</f>
        <v/>
      </c>
      <c r="E64" s="22">
        <f>IF('پرداخت‌ها'!C33="","",'پرداخت‌ها'!B33&amp;" / "&amp;'پرداخت‌ها'!E33)</f>
        <v/>
      </c>
      <c r="F64" s="20" t="n">
        <v>0</v>
      </c>
      <c r="G64" s="19">
        <f>N('پرداخت‌ها'!C33)</f>
        <v/>
      </c>
      <c r="H64" s="20">
        <f>H63+F64-G64</f>
        <v/>
      </c>
    </row>
    <row r="65">
      <c r="A65" s="10">
        <f>A64+1</f>
        <v/>
      </c>
      <c r="B65" s="22">
        <f>IF('پرداخت‌ها'!C34="","",'پرداخت‌ها'!A34)</f>
        <v/>
      </c>
      <c r="C65" s="4">
        <f>IF('پرداخت‌ها'!C34="","","پرداخت به تامین‌کننده")</f>
        <v/>
      </c>
      <c r="D65" s="22">
        <f>IF('پرداخت‌ها'!C34="","",'پرداخت‌ها'!D34)</f>
        <v/>
      </c>
      <c r="E65" s="22">
        <f>IF('پرداخت‌ها'!C34="","",'پرداخت‌ها'!B34&amp;" / "&amp;'پرداخت‌ها'!E34)</f>
        <v/>
      </c>
      <c r="F65" s="20" t="n">
        <v>0</v>
      </c>
      <c r="G65" s="19">
        <f>N('پرداخت‌ها'!C34)</f>
        <v/>
      </c>
      <c r="H65" s="20">
        <f>H64+F65-G65</f>
        <v/>
      </c>
    </row>
    <row r="66">
      <c r="A66" s="10">
        <f>A65+1</f>
        <v/>
      </c>
      <c r="B66" s="22">
        <f>IF('تعدیل‌ها'!C5="استرداد وجه",'تعدیل‌ها'!A5,"")</f>
        <v/>
      </c>
      <c r="C66" s="4">
        <f>IF('تعدیل‌ها'!C5="استرداد وجه","استرداد وجه به واحد","")</f>
        <v/>
      </c>
      <c r="D66" s="22">
        <f>IF('تعدیل‌ها'!C5="استرداد وجه",'تعدیل‌ها'!B5,"")</f>
        <v/>
      </c>
      <c r="E66" s="22">
        <f>IF('تعدیل‌ها'!C5="استرداد وجه",'تعدیل‌ها'!F5,"")</f>
        <v/>
      </c>
      <c r="F66" s="20" t="n">
        <v>0</v>
      </c>
      <c r="G66" s="19">
        <f>IF('تعدیل‌ها'!C5="استرداد وجه",N('تعدیل‌ها'!D5),0)</f>
        <v/>
      </c>
      <c r="H66" s="20">
        <f>H65+F66-G66</f>
        <v/>
      </c>
    </row>
    <row r="67">
      <c r="A67" s="10">
        <f>A66+1</f>
        <v/>
      </c>
      <c r="B67" s="22">
        <f>IF('تعدیل‌ها'!C6="استرداد وجه",'تعدیل‌ها'!A6,"")</f>
        <v/>
      </c>
      <c r="C67" s="4">
        <f>IF('تعدیل‌ها'!C6="استرداد وجه","استرداد وجه به واحد","")</f>
        <v/>
      </c>
      <c r="D67" s="22">
        <f>IF('تعدیل‌ها'!C6="استرداد وجه",'تعدیل‌ها'!B6,"")</f>
        <v/>
      </c>
      <c r="E67" s="22">
        <f>IF('تعدیل‌ها'!C6="استرداد وجه",'تعدیل‌ها'!F6,"")</f>
        <v/>
      </c>
      <c r="F67" s="20" t="n">
        <v>0</v>
      </c>
      <c r="G67" s="19">
        <f>IF('تعدیل‌ها'!C6="استرداد وجه",N('تعدیل‌ها'!D6),0)</f>
        <v/>
      </c>
      <c r="H67" s="20">
        <f>H66+F67-G67</f>
        <v/>
      </c>
    </row>
    <row r="68">
      <c r="A68" s="10">
        <f>A67+1</f>
        <v/>
      </c>
      <c r="B68" s="22">
        <f>IF('تعدیل‌ها'!C7="استرداد وجه",'تعدیل‌ها'!A7,"")</f>
        <v/>
      </c>
      <c r="C68" s="4">
        <f>IF('تعدیل‌ها'!C7="استرداد وجه","استرداد وجه به واحد","")</f>
        <v/>
      </c>
      <c r="D68" s="22">
        <f>IF('تعدیل‌ها'!C7="استرداد وجه",'تعدیل‌ها'!B7,"")</f>
        <v/>
      </c>
      <c r="E68" s="22">
        <f>IF('تعدیل‌ها'!C7="استرداد وجه",'تعدیل‌ها'!F7,"")</f>
        <v/>
      </c>
      <c r="F68" s="20" t="n">
        <v>0</v>
      </c>
      <c r="G68" s="19">
        <f>IF('تعدیل‌ها'!C7="استرداد وجه",N('تعدیل‌ها'!D7),0)</f>
        <v/>
      </c>
      <c r="H68" s="20">
        <f>H67+F68-G68</f>
        <v/>
      </c>
    </row>
    <row r="69">
      <c r="A69" s="10">
        <f>A68+1</f>
        <v/>
      </c>
      <c r="B69" s="22">
        <f>IF('تعدیل‌ها'!C8="استرداد وجه",'تعدیل‌ها'!A8,"")</f>
        <v/>
      </c>
      <c r="C69" s="4">
        <f>IF('تعدیل‌ها'!C8="استرداد وجه","استرداد وجه به واحد","")</f>
        <v/>
      </c>
      <c r="D69" s="22">
        <f>IF('تعدیل‌ها'!C8="استرداد وجه",'تعدیل‌ها'!B8,"")</f>
        <v/>
      </c>
      <c r="E69" s="22">
        <f>IF('تعدیل‌ها'!C8="استرداد وجه",'تعدیل‌ها'!F8,"")</f>
        <v/>
      </c>
      <c r="F69" s="20" t="n">
        <v>0</v>
      </c>
      <c r="G69" s="19">
        <f>IF('تعدیل‌ها'!C8="استرداد وجه",N('تعدیل‌ها'!D8),0)</f>
        <v/>
      </c>
      <c r="H69" s="20">
        <f>H68+F69-G69</f>
        <v/>
      </c>
    </row>
    <row r="70">
      <c r="A70" s="10">
        <f>A69+1</f>
        <v/>
      </c>
      <c r="B70" s="22">
        <f>IF('تعدیل‌ها'!C9="استرداد وجه",'تعدیل‌ها'!A9,"")</f>
        <v/>
      </c>
      <c r="C70" s="4">
        <f>IF('تعدیل‌ها'!C9="استرداد وجه","استرداد وجه به واحد","")</f>
        <v/>
      </c>
      <c r="D70" s="22">
        <f>IF('تعدیل‌ها'!C9="استرداد وجه",'تعدیل‌ها'!B9,"")</f>
        <v/>
      </c>
      <c r="E70" s="22">
        <f>IF('تعدیل‌ها'!C9="استرداد وجه",'تعدیل‌ها'!F9,"")</f>
        <v/>
      </c>
      <c r="F70" s="20" t="n">
        <v>0</v>
      </c>
      <c r="G70" s="19">
        <f>IF('تعدیل‌ها'!C9="استرداد وجه",N('تعدیل‌ها'!D9),0)</f>
        <v/>
      </c>
      <c r="H70" s="20">
        <f>H69+F70-G70</f>
        <v/>
      </c>
    </row>
    <row r="71">
      <c r="A71" s="10">
        <f>A70+1</f>
        <v/>
      </c>
      <c r="B71" s="22">
        <f>IF('تعدیل‌ها'!C10="استرداد وجه",'تعدیل‌ها'!A10,"")</f>
        <v/>
      </c>
      <c r="C71" s="4">
        <f>IF('تعدیل‌ها'!C10="استرداد وجه","استرداد وجه به واحد","")</f>
        <v/>
      </c>
      <c r="D71" s="22">
        <f>IF('تعدیل‌ها'!C10="استرداد وجه",'تعدیل‌ها'!B10,"")</f>
        <v/>
      </c>
      <c r="E71" s="22">
        <f>IF('تعدیل‌ها'!C10="استرداد وجه",'تعدیل‌ها'!F10,"")</f>
        <v/>
      </c>
      <c r="F71" s="20" t="n">
        <v>0</v>
      </c>
      <c r="G71" s="19">
        <f>IF('تعدیل‌ها'!C10="استرداد وجه",N('تعدیل‌ها'!D10),0)</f>
        <v/>
      </c>
      <c r="H71" s="20">
        <f>H70+F71-G71</f>
        <v/>
      </c>
    </row>
    <row r="72">
      <c r="A72" s="10">
        <f>A71+1</f>
        <v/>
      </c>
      <c r="B72" s="22">
        <f>IF('تعدیل‌ها'!C11="استرداد وجه",'تعدیل‌ها'!A11,"")</f>
        <v/>
      </c>
      <c r="C72" s="4">
        <f>IF('تعدیل‌ها'!C11="استرداد وجه","استرداد وجه به واحد","")</f>
        <v/>
      </c>
      <c r="D72" s="22">
        <f>IF('تعدیل‌ها'!C11="استرداد وجه",'تعدیل‌ها'!B11,"")</f>
        <v/>
      </c>
      <c r="E72" s="22">
        <f>IF('تعدیل‌ها'!C11="استرداد وجه",'تعدیل‌ها'!F11,"")</f>
        <v/>
      </c>
      <c r="F72" s="20" t="n">
        <v>0</v>
      </c>
      <c r="G72" s="19">
        <f>IF('تعدیل‌ها'!C11="استرداد وجه",N('تعدیل‌ها'!D11),0)</f>
        <v/>
      </c>
      <c r="H72" s="20">
        <f>H71+F72-G72</f>
        <v/>
      </c>
    </row>
    <row r="73">
      <c r="A73" s="10">
        <f>A72+1</f>
        <v/>
      </c>
      <c r="B73" s="22">
        <f>IF('تعدیل‌ها'!C12="استرداد وجه",'تعدیل‌ها'!A12,"")</f>
        <v/>
      </c>
      <c r="C73" s="4">
        <f>IF('تعدیل‌ها'!C12="استرداد وجه","استرداد وجه به واحد","")</f>
        <v/>
      </c>
      <c r="D73" s="22">
        <f>IF('تعدیل‌ها'!C12="استرداد وجه",'تعدیل‌ها'!B12,"")</f>
        <v/>
      </c>
      <c r="E73" s="22">
        <f>IF('تعدیل‌ها'!C12="استرداد وجه",'تعدیل‌ها'!F12,"")</f>
        <v/>
      </c>
      <c r="F73" s="20" t="n">
        <v>0</v>
      </c>
      <c r="G73" s="19">
        <f>IF('تعدیل‌ها'!C12="استرداد وجه",N('تعدیل‌ها'!D12),0)</f>
        <v/>
      </c>
      <c r="H73" s="20">
        <f>H72+F73-G73</f>
        <v/>
      </c>
    </row>
    <row r="74">
      <c r="A74" s="10">
        <f>A73+1</f>
        <v/>
      </c>
      <c r="B74" s="22">
        <f>IF('تعدیل‌ها'!C13="استرداد وجه",'تعدیل‌ها'!A13,"")</f>
        <v/>
      </c>
      <c r="C74" s="4">
        <f>IF('تعدیل‌ها'!C13="استرداد وجه","استرداد وجه به واحد","")</f>
        <v/>
      </c>
      <c r="D74" s="22">
        <f>IF('تعدیل‌ها'!C13="استرداد وجه",'تعدیل‌ها'!B13,"")</f>
        <v/>
      </c>
      <c r="E74" s="22">
        <f>IF('تعدیل‌ها'!C13="استرداد وجه",'تعدیل‌ها'!F13,"")</f>
        <v/>
      </c>
      <c r="F74" s="20" t="n">
        <v>0</v>
      </c>
      <c r="G74" s="19">
        <f>IF('تعدیل‌ها'!C13="استرداد وجه",N('تعدیل‌ها'!D13),0)</f>
        <v/>
      </c>
      <c r="H74" s="20">
        <f>H73+F74-G74</f>
        <v/>
      </c>
    </row>
    <row r="75">
      <c r="A75" s="10">
        <f>A74+1</f>
        <v/>
      </c>
      <c r="B75" s="22">
        <f>IF('تعدیل‌ها'!C14="استرداد وجه",'تعدیل‌ها'!A14,"")</f>
        <v/>
      </c>
      <c r="C75" s="4">
        <f>IF('تعدیل‌ها'!C14="استرداد وجه","استرداد وجه به واحد","")</f>
        <v/>
      </c>
      <c r="D75" s="22">
        <f>IF('تعدیل‌ها'!C14="استرداد وجه",'تعدیل‌ها'!B14,"")</f>
        <v/>
      </c>
      <c r="E75" s="22">
        <f>IF('تعدیل‌ها'!C14="استرداد وجه",'تعدیل‌ها'!F14,"")</f>
        <v/>
      </c>
      <c r="F75" s="20" t="n">
        <v>0</v>
      </c>
      <c r="G75" s="19">
        <f>IF('تعدیل‌ها'!C14="استرداد وجه",N('تعدیل‌ها'!D14),0)</f>
        <v/>
      </c>
      <c r="H75" s="20">
        <f>H74+F75-G75</f>
        <v/>
      </c>
    </row>
    <row r="76">
      <c r="A76" s="10">
        <f>A75+1</f>
        <v/>
      </c>
      <c r="B76" s="22">
        <f>IF('تعدیل‌ها'!C15="استرداد وجه",'تعدیل‌ها'!A15,"")</f>
        <v/>
      </c>
      <c r="C76" s="4">
        <f>IF('تعدیل‌ها'!C15="استرداد وجه","استرداد وجه به واحد","")</f>
        <v/>
      </c>
      <c r="D76" s="22">
        <f>IF('تعدیل‌ها'!C15="استرداد وجه",'تعدیل‌ها'!B15,"")</f>
        <v/>
      </c>
      <c r="E76" s="22">
        <f>IF('تعدیل‌ها'!C15="استرداد وجه",'تعدیل‌ها'!F15,"")</f>
        <v/>
      </c>
      <c r="F76" s="20" t="n">
        <v>0</v>
      </c>
      <c r="G76" s="19">
        <f>IF('تعدیل‌ها'!C15="استرداد وجه",N('تعدیل‌ها'!D15),0)</f>
        <v/>
      </c>
      <c r="H76" s="20">
        <f>H75+F76-G76</f>
        <v/>
      </c>
    </row>
    <row r="77">
      <c r="A77" s="10">
        <f>A76+1</f>
        <v/>
      </c>
      <c r="B77" s="22">
        <f>IF('تعدیل‌ها'!C16="استرداد وجه",'تعدیل‌ها'!A16,"")</f>
        <v/>
      </c>
      <c r="C77" s="4">
        <f>IF('تعدیل‌ها'!C16="استرداد وجه","استرداد وجه به واحد","")</f>
        <v/>
      </c>
      <c r="D77" s="22">
        <f>IF('تعدیل‌ها'!C16="استرداد وجه",'تعدیل‌ها'!B16,"")</f>
        <v/>
      </c>
      <c r="E77" s="22">
        <f>IF('تعدیل‌ها'!C16="استرداد وجه",'تعدیل‌ها'!F16,"")</f>
        <v/>
      </c>
      <c r="F77" s="20" t="n">
        <v>0</v>
      </c>
      <c r="G77" s="19">
        <f>IF('تعدیل‌ها'!C16="استرداد وجه",N('تعدیل‌ها'!D16),0)</f>
        <v/>
      </c>
      <c r="H77" s="20">
        <f>H76+F77-G77</f>
        <v/>
      </c>
    </row>
    <row r="78">
      <c r="A78" s="10">
        <f>A77+1</f>
        <v/>
      </c>
      <c r="B78" s="22">
        <f>IF('تعدیل‌ها'!C17="استرداد وجه",'تعدیل‌ها'!A17,"")</f>
        <v/>
      </c>
      <c r="C78" s="4">
        <f>IF('تعدیل‌ها'!C17="استرداد وجه","استرداد وجه به واحد","")</f>
        <v/>
      </c>
      <c r="D78" s="22">
        <f>IF('تعدیل‌ها'!C17="استرداد وجه",'تعدیل‌ها'!B17,"")</f>
        <v/>
      </c>
      <c r="E78" s="22">
        <f>IF('تعدیل‌ها'!C17="استرداد وجه",'تعدیل‌ها'!F17,"")</f>
        <v/>
      </c>
      <c r="F78" s="20" t="n">
        <v>0</v>
      </c>
      <c r="G78" s="19">
        <f>IF('تعدیل‌ها'!C17="استرداد وجه",N('تعدیل‌ها'!D17),0)</f>
        <v/>
      </c>
      <c r="H78" s="20">
        <f>H77+F78-G78</f>
        <v/>
      </c>
    </row>
    <row r="79">
      <c r="A79" s="10">
        <f>A78+1</f>
        <v/>
      </c>
      <c r="B79" s="22">
        <f>IF('تعدیل‌ها'!C18="استرداد وجه",'تعدیل‌ها'!A18,"")</f>
        <v/>
      </c>
      <c r="C79" s="4">
        <f>IF('تعدیل‌ها'!C18="استرداد وجه","استرداد وجه به واحد","")</f>
        <v/>
      </c>
      <c r="D79" s="22">
        <f>IF('تعدیل‌ها'!C18="استرداد وجه",'تعدیل‌ها'!B18,"")</f>
        <v/>
      </c>
      <c r="E79" s="22">
        <f>IF('تعدیل‌ها'!C18="استرداد وجه",'تعدیل‌ها'!F18,"")</f>
        <v/>
      </c>
      <c r="F79" s="20" t="n">
        <v>0</v>
      </c>
      <c r="G79" s="19">
        <f>IF('تعدیل‌ها'!C18="استرداد وجه",N('تعدیل‌ها'!D18),0)</f>
        <v/>
      </c>
      <c r="H79" s="20">
        <f>H78+F79-G79</f>
        <v/>
      </c>
    </row>
    <row r="80">
      <c r="A80" s="10">
        <f>A79+1</f>
        <v/>
      </c>
      <c r="B80" s="22">
        <f>IF('تعدیل‌ها'!C19="استرداد وجه",'تعدیل‌ها'!A19,"")</f>
        <v/>
      </c>
      <c r="C80" s="4">
        <f>IF('تعدیل‌ها'!C19="استرداد وجه","استرداد وجه به واحد","")</f>
        <v/>
      </c>
      <c r="D80" s="22">
        <f>IF('تعدیل‌ها'!C19="استرداد وجه",'تعدیل‌ها'!B19,"")</f>
        <v/>
      </c>
      <c r="E80" s="22">
        <f>IF('تعدیل‌ها'!C19="استرداد وجه",'تعدیل‌ها'!F19,"")</f>
        <v/>
      </c>
      <c r="F80" s="20" t="n">
        <v>0</v>
      </c>
      <c r="G80" s="19">
        <f>IF('تعدیل‌ها'!C19="استرداد وجه",N('تعدیل‌ها'!D19),0)</f>
        <v/>
      </c>
      <c r="H80" s="20">
        <f>H79+F80-G80</f>
        <v/>
      </c>
    </row>
    <row r="81">
      <c r="A81" s="10">
        <f>A80+1</f>
        <v/>
      </c>
      <c r="B81" s="22">
        <f>IF('تعدیل‌ها'!C20="استرداد وجه",'تعدیل‌ها'!A20,"")</f>
        <v/>
      </c>
      <c r="C81" s="4">
        <f>IF('تعدیل‌ها'!C20="استرداد وجه","استرداد وجه به واحد","")</f>
        <v/>
      </c>
      <c r="D81" s="22">
        <f>IF('تعدیل‌ها'!C20="استرداد وجه",'تعدیل‌ها'!B20,"")</f>
        <v/>
      </c>
      <c r="E81" s="22">
        <f>IF('تعدیل‌ها'!C20="استرداد وجه",'تعدیل‌ها'!F20,"")</f>
        <v/>
      </c>
      <c r="F81" s="20" t="n">
        <v>0</v>
      </c>
      <c r="G81" s="19">
        <f>IF('تعدیل‌ها'!C20="استرداد وجه",N('تعدیل‌ها'!D20),0)</f>
        <v/>
      </c>
      <c r="H81" s="20">
        <f>H80+F81-G81</f>
        <v/>
      </c>
    </row>
    <row r="82">
      <c r="A82" s="10">
        <f>A81+1</f>
        <v/>
      </c>
      <c r="B82" s="22">
        <f>IF('تعدیل‌ها'!C21="استرداد وجه",'تعدیل‌ها'!A21,"")</f>
        <v/>
      </c>
      <c r="C82" s="4">
        <f>IF('تعدیل‌ها'!C21="استرداد وجه","استرداد وجه به واحد","")</f>
        <v/>
      </c>
      <c r="D82" s="22">
        <f>IF('تعدیل‌ها'!C21="استرداد وجه",'تعدیل‌ها'!B21,"")</f>
        <v/>
      </c>
      <c r="E82" s="22">
        <f>IF('تعدیل‌ها'!C21="استرداد وجه",'تعدیل‌ها'!F21,"")</f>
        <v/>
      </c>
      <c r="F82" s="20" t="n">
        <v>0</v>
      </c>
      <c r="G82" s="19">
        <f>IF('تعدیل‌ها'!C21="استرداد وجه",N('تعدیل‌ها'!D21),0)</f>
        <v/>
      </c>
      <c r="H82" s="20">
        <f>H81+F82-G82</f>
        <v/>
      </c>
    </row>
    <row r="83">
      <c r="A83" s="10">
        <f>A82+1</f>
        <v/>
      </c>
      <c r="B83" s="22">
        <f>IF('تعدیل‌ها'!C22="استرداد وجه",'تعدیل‌ها'!A22,"")</f>
        <v/>
      </c>
      <c r="C83" s="4">
        <f>IF('تعدیل‌ها'!C22="استرداد وجه","استرداد وجه به واحد","")</f>
        <v/>
      </c>
      <c r="D83" s="22">
        <f>IF('تعدیل‌ها'!C22="استرداد وجه",'تعدیل‌ها'!B22,"")</f>
        <v/>
      </c>
      <c r="E83" s="22">
        <f>IF('تعدیل‌ها'!C22="استرداد وجه",'تعدیل‌ها'!F22,"")</f>
        <v/>
      </c>
      <c r="F83" s="20" t="n">
        <v>0</v>
      </c>
      <c r="G83" s="19">
        <f>IF('تعدیل‌ها'!C22="استرداد وجه",N('تعدیل‌ها'!D22),0)</f>
        <v/>
      </c>
      <c r="H83" s="20">
        <f>H82+F83-G83</f>
        <v/>
      </c>
    </row>
    <row r="84">
      <c r="A84" s="10">
        <f>A83+1</f>
        <v/>
      </c>
      <c r="B84" s="22">
        <f>IF('تعدیل‌ها'!C23="استرداد وجه",'تعدیل‌ها'!A23,"")</f>
        <v/>
      </c>
      <c r="C84" s="4">
        <f>IF('تعدیل‌ها'!C23="استرداد وجه","استرداد وجه به واحد","")</f>
        <v/>
      </c>
      <c r="D84" s="22">
        <f>IF('تعدیل‌ها'!C23="استرداد وجه",'تعدیل‌ها'!B23,"")</f>
        <v/>
      </c>
      <c r="E84" s="22">
        <f>IF('تعدیل‌ها'!C23="استرداد وجه",'تعدیل‌ها'!F23,"")</f>
        <v/>
      </c>
      <c r="F84" s="20" t="n">
        <v>0</v>
      </c>
      <c r="G84" s="19">
        <f>IF('تعدیل‌ها'!C23="استرداد وجه",N('تعدیل‌ها'!D23),0)</f>
        <v/>
      </c>
      <c r="H84" s="20">
        <f>H83+F84-G84</f>
        <v/>
      </c>
    </row>
    <row r="85">
      <c r="A85" s="10">
        <f>A84+1</f>
        <v/>
      </c>
      <c r="B85" s="22">
        <f>IF('تعدیل‌ها'!C24="استرداد وجه",'تعدیل‌ها'!A24,"")</f>
        <v/>
      </c>
      <c r="C85" s="4">
        <f>IF('تعدیل‌ها'!C24="استرداد وجه","استرداد وجه به واحد","")</f>
        <v/>
      </c>
      <c r="D85" s="22">
        <f>IF('تعدیل‌ها'!C24="استرداد وجه",'تعدیل‌ها'!B24,"")</f>
        <v/>
      </c>
      <c r="E85" s="22">
        <f>IF('تعدیل‌ها'!C24="استرداد وجه",'تعدیل‌ها'!F24,"")</f>
        <v/>
      </c>
      <c r="F85" s="20" t="n">
        <v>0</v>
      </c>
      <c r="G85" s="19">
        <f>IF('تعدیل‌ها'!C24="استرداد وجه",N('تعدیل‌ها'!D24),0)</f>
        <v/>
      </c>
      <c r="H85" s="20">
        <f>H84+F85-G85</f>
        <v/>
      </c>
    </row>
    <row r="86">
      <c r="E86" t="inlineStr">
        <is>
          <t>جمع / مانده پایانی</t>
        </is>
      </c>
      <c r="F86" s="20">
        <f>SUM(F5:F85)</f>
        <v/>
      </c>
      <c r="G86" s="20">
        <f>SUM(G5:G85)</f>
        <v/>
      </c>
      <c r="H86" s="20">
        <f>F86-G86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4" customWidth="1" min="5" max="5"/>
    <col width="13" customWidth="1" min="6" max="6"/>
    <col width="13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مانده حساب واحدها</t>
        </is>
      </c>
    </row>
    <row r="2">
      <c r="A2" s="8" t="inlineStr">
        <is>
          <t>مثبت = بدهکار (واحد بدهی دارد) ؛ منفی = بستانکار (اعتبار واحد).</t>
        </is>
      </c>
    </row>
    <row r="4" ht="32" customHeight="1">
      <c r="A4" s="5" t="inlineStr">
        <is>
          <t>واحد</t>
        </is>
      </c>
      <c r="B4" s="5" t="inlineStr">
        <is>
          <t>مانده افتتاحیه</t>
        </is>
      </c>
      <c r="C4" s="5" t="inlineStr">
        <is>
          <t>شارژ عملیاتی (بدون آب)</t>
        </is>
      </c>
      <c r="D4" s="5" t="inlineStr">
        <is>
          <t>شارژ آب</t>
        </is>
      </c>
      <c r="E4" s="5" t="inlineStr">
        <is>
          <t>شارژ اندوخته</t>
        </is>
      </c>
      <c r="F4" s="5" t="inlineStr">
        <is>
          <t>تعدیل بدهکار</t>
        </is>
      </c>
      <c r="G4" s="5" t="inlineStr">
        <is>
          <t>تعدیل بستانکار</t>
        </is>
      </c>
      <c r="H4" s="5" t="inlineStr">
        <is>
          <t>دریافتی</t>
        </is>
      </c>
      <c r="I4" s="5" t="inlineStr">
        <is>
          <t>استرداد</t>
        </is>
      </c>
      <c r="J4" s="5" t="inlineStr">
        <is>
          <t>مانده پایانی</t>
        </is>
      </c>
      <c r="K4" s="5" t="inlineStr">
        <is>
          <t>وضعیت</t>
        </is>
      </c>
    </row>
    <row r="5">
      <c r="A5" s="22">
        <f>'واحدها'!A5</f>
        <v/>
      </c>
      <c r="B5" s="19">
        <f>'افتتاحیه'!B11</f>
        <v/>
      </c>
      <c r="C5" s="20">
        <f>SUMIFS('محاسبه تسهیم'!$Q$5:$Q$265,'محاسبه تسهیم'!$C$5:$C$265,A5,'محاسبه تسهیم'!$R$5:$R$265,"عملیاتی")-D5</f>
        <v/>
      </c>
      <c r="D5" s="20">
        <f>SUMIFS('محاسبه تسهیم'!$Q$5:$Q$265,'محاسبه تسهیم'!$C$5:$C$265,A5,'محاسبه تسهیم'!$R$5:$R$265,"عملیاتی",'محاسبه تسهیم'!$T$5:$T$265,"بله")</f>
        <v/>
      </c>
      <c r="E5" s="20">
        <f>SUMIFS('محاسبه تسهیم'!$Q$5:$Q$265,'محاسبه تسهیم'!$C$5:$C$265,A5,'محاسبه تسهیم'!$R$5:$R$265,"اندوخته")</f>
        <v/>
      </c>
      <c r="F5" s="19">
        <f>SUMIFS('تعدیل‌ها'!$D$5:$D$24,'تعدیل‌ها'!$B$5:$B$24,A5,'تعدیل‌ها'!$C$5:$C$24,"بدهکار (افزایش بدهی)")</f>
        <v/>
      </c>
      <c r="G5" s="19">
        <f>SUMIFS('تعدیل‌ها'!$D$5:$D$24,'تعدیل‌ها'!$B$5:$B$24,A5,'تعدیل‌ها'!$C$5:$C$24,"بستانکار (کاهش بدهی)")</f>
        <v/>
      </c>
      <c r="H5" s="19">
        <f>SUMIFS('دریافت‌ها'!$C$5:$C$34,'دریافت‌ها'!$B$5:$B$34,A5)</f>
        <v/>
      </c>
      <c r="I5" s="19">
        <f>SUMIFS('تعدیل‌ها'!$D$5:$D$24,'تعدیل‌ها'!$B$5:$B$24,A5,'تعدیل‌ها'!$C$5:$C$24,"استرداد وجه")</f>
        <v/>
      </c>
      <c r="J5" s="20">
        <f>B5+C5+D5+E5+F5-G5-H5+I5</f>
        <v/>
      </c>
      <c r="K5" s="4">
        <f>IF(J5&gt;0,"بدهکار",IF(J5&lt;0,"بستانکار","تسویه"))</f>
        <v/>
      </c>
    </row>
    <row r="6">
      <c r="A6" s="22">
        <f>'واحدها'!A6</f>
        <v/>
      </c>
      <c r="B6" s="19">
        <f>'افتتاحیه'!B12</f>
        <v/>
      </c>
      <c r="C6" s="20">
        <f>SUMIFS('محاسبه تسهیم'!$Q$5:$Q$265,'محاسبه تسهیم'!$C$5:$C$265,A6,'محاسبه تسهیم'!$R$5:$R$265,"عملیاتی")-D6</f>
        <v/>
      </c>
      <c r="D6" s="20">
        <f>SUMIFS('محاسبه تسهیم'!$Q$5:$Q$265,'محاسبه تسهیم'!$C$5:$C$265,A6,'محاسبه تسهیم'!$R$5:$R$265,"عملیاتی",'محاسبه تسهیم'!$T$5:$T$265,"بله")</f>
        <v/>
      </c>
      <c r="E6" s="20">
        <f>SUMIFS('محاسبه تسهیم'!$Q$5:$Q$265,'محاسبه تسهیم'!$C$5:$C$265,A6,'محاسبه تسهیم'!$R$5:$R$265,"اندوخته")</f>
        <v/>
      </c>
      <c r="F6" s="19">
        <f>SUMIFS('تعدیل‌ها'!$D$5:$D$24,'تعدیل‌ها'!$B$5:$B$24,A6,'تعدیل‌ها'!$C$5:$C$24,"بدهکار (افزایش بدهی)")</f>
        <v/>
      </c>
      <c r="G6" s="19">
        <f>SUMIFS('تعدیل‌ها'!$D$5:$D$24,'تعدیل‌ها'!$B$5:$B$24,A6,'تعدیل‌ها'!$C$5:$C$24,"بستانکار (کاهش بدهی)")</f>
        <v/>
      </c>
      <c r="H6" s="19">
        <f>SUMIFS('دریافت‌ها'!$C$5:$C$34,'دریافت‌ها'!$B$5:$B$34,A6)</f>
        <v/>
      </c>
      <c r="I6" s="19">
        <f>SUMIFS('تعدیل‌ها'!$D$5:$D$24,'تعدیل‌ها'!$B$5:$B$24,A6,'تعدیل‌ها'!$C$5:$C$24,"استرداد وجه")</f>
        <v/>
      </c>
      <c r="J6" s="20">
        <f>B6+C6+D6+E6+F6-G6-H6+I6</f>
        <v/>
      </c>
      <c r="K6" s="4">
        <f>IF(J6&gt;0,"بدهکار",IF(J6&lt;0,"بستانکار","تسویه"))</f>
        <v/>
      </c>
    </row>
    <row r="7">
      <c r="A7" s="22">
        <f>'واحدها'!A7</f>
        <v/>
      </c>
      <c r="B7" s="19">
        <f>'افتتاحیه'!B13</f>
        <v/>
      </c>
      <c r="C7" s="20">
        <f>SUMIFS('محاسبه تسهیم'!$Q$5:$Q$265,'محاسبه تسهیم'!$C$5:$C$265,A7,'محاسبه تسهیم'!$R$5:$R$265,"عملیاتی")-D7</f>
        <v/>
      </c>
      <c r="D7" s="20">
        <f>SUMIFS('محاسبه تسهیم'!$Q$5:$Q$265,'محاسبه تسهیم'!$C$5:$C$265,A7,'محاسبه تسهیم'!$R$5:$R$265,"عملیاتی",'محاسبه تسهیم'!$T$5:$T$265,"بله")</f>
        <v/>
      </c>
      <c r="E7" s="20">
        <f>SUMIFS('محاسبه تسهیم'!$Q$5:$Q$265,'محاسبه تسهیم'!$C$5:$C$265,A7,'محاسبه تسهیم'!$R$5:$R$265,"اندوخته")</f>
        <v/>
      </c>
      <c r="F7" s="19">
        <f>SUMIFS('تعدیل‌ها'!$D$5:$D$24,'تعدیل‌ها'!$B$5:$B$24,A7,'تعدیل‌ها'!$C$5:$C$24,"بدهکار (افزایش بدهی)")</f>
        <v/>
      </c>
      <c r="G7" s="19">
        <f>SUMIFS('تعدیل‌ها'!$D$5:$D$24,'تعدیل‌ها'!$B$5:$B$24,A7,'تعدیل‌ها'!$C$5:$C$24,"بستانکار (کاهش بدهی)")</f>
        <v/>
      </c>
      <c r="H7" s="19">
        <f>SUMIFS('دریافت‌ها'!$C$5:$C$34,'دریافت‌ها'!$B$5:$B$34,A7)</f>
        <v/>
      </c>
      <c r="I7" s="19">
        <f>SUMIFS('تعدیل‌ها'!$D$5:$D$24,'تعدیل‌ها'!$B$5:$B$24,A7,'تعدیل‌ها'!$C$5:$C$24,"استرداد وجه")</f>
        <v/>
      </c>
      <c r="J7" s="20">
        <f>B7+C7+D7+E7+F7-G7-H7+I7</f>
        <v/>
      </c>
      <c r="K7" s="4">
        <f>IF(J7&gt;0,"بدهکار",IF(J7&lt;0,"بستانکار","تسویه"))</f>
        <v/>
      </c>
    </row>
    <row r="8">
      <c r="A8" s="22">
        <f>'واحدها'!A8</f>
        <v/>
      </c>
      <c r="B8" s="19">
        <f>'افتتاحیه'!B14</f>
        <v/>
      </c>
      <c r="C8" s="20">
        <f>SUMIFS('محاسبه تسهیم'!$Q$5:$Q$265,'محاسبه تسهیم'!$C$5:$C$265,A8,'محاسبه تسهیم'!$R$5:$R$265,"عملیاتی")-D8</f>
        <v/>
      </c>
      <c r="D8" s="20">
        <f>SUMIFS('محاسبه تسهیم'!$Q$5:$Q$265,'محاسبه تسهیم'!$C$5:$C$265,A8,'محاسبه تسهیم'!$R$5:$R$265,"عملیاتی",'محاسبه تسهیم'!$T$5:$T$265,"بله")</f>
        <v/>
      </c>
      <c r="E8" s="20">
        <f>SUMIFS('محاسبه تسهیم'!$Q$5:$Q$265,'محاسبه تسهیم'!$C$5:$C$265,A8,'محاسبه تسهیم'!$R$5:$R$265,"اندوخته")</f>
        <v/>
      </c>
      <c r="F8" s="19">
        <f>SUMIFS('تعدیل‌ها'!$D$5:$D$24,'تعدیل‌ها'!$B$5:$B$24,A8,'تعدیل‌ها'!$C$5:$C$24,"بدهکار (افزایش بدهی)")</f>
        <v/>
      </c>
      <c r="G8" s="19">
        <f>SUMIFS('تعدیل‌ها'!$D$5:$D$24,'تعدیل‌ها'!$B$5:$B$24,A8,'تعدیل‌ها'!$C$5:$C$24,"بستانکار (کاهش بدهی)")</f>
        <v/>
      </c>
      <c r="H8" s="19">
        <f>SUMIFS('دریافت‌ها'!$C$5:$C$34,'دریافت‌ها'!$B$5:$B$34,A8)</f>
        <v/>
      </c>
      <c r="I8" s="19">
        <f>SUMIFS('تعدیل‌ها'!$D$5:$D$24,'تعدیل‌ها'!$B$5:$B$24,A8,'تعدیل‌ها'!$C$5:$C$24,"استرداد وجه")</f>
        <v/>
      </c>
      <c r="J8" s="20">
        <f>B8+C8+D8+E8+F8-G8-H8+I8</f>
        <v/>
      </c>
      <c r="K8" s="4">
        <f>IF(J8&gt;0,"بدهکار",IF(J8&lt;0,"بستانکار","تسویه"))</f>
        <v/>
      </c>
    </row>
    <row r="9">
      <c r="A9" s="22">
        <f>'واحدها'!A9</f>
        <v/>
      </c>
      <c r="B9" s="19">
        <f>'افتتاحیه'!B15</f>
        <v/>
      </c>
      <c r="C9" s="20">
        <f>SUMIFS('محاسبه تسهیم'!$Q$5:$Q$265,'محاسبه تسهیم'!$C$5:$C$265,A9,'محاسبه تسهیم'!$R$5:$R$265,"عملیاتی")-D9</f>
        <v/>
      </c>
      <c r="D9" s="20">
        <f>SUMIFS('محاسبه تسهیم'!$Q$5:$Q$265,'محاسبه تسهیم'!$C$5:$C$265,A9,'محاسبه تسهیم'!$R$5:$R$265,"عملیاتی",'محاسبه تسهیم'!$T$5:$T$265,"بله")</f>
        <v/>
      </c>
      <c r="E9" s="20">
        <f>SUMIFS('محاسبه تسهیم'!$Q$5:$Q$265,'محاسبه تسهیم'!$C$5:$C$265,A9,'محاسبه تسهیم'!$R$5:$R$265,"اندوخته")</f>
        <v/>
      </c>
      <c r="F9" s="19">
        <f>SUMIFS('تعدیل‌ها'!$D$5:$D$24,'تعدیل‌ها'!$B$5:$B$24,A9,'تعدیل‌ها'!$C$5:$C$24,"بدهکار (افزایش بدهی)")</f>
        <v/>
      </c>
      <c r="G9" s="19">
        <f>SUMIFS('تعدیل‌ها'!$D$5:$D$24,'تعدیل‌ها'!$B$5:$B$24,A9,'تعدیل‌ها'!$C$5:$C$24,"بستانکار (کاهش بدهی)")</f>
        <v/>
      </c>
      <c r="H9" s="19">
        <f>SUMIFS('دریافت‌ها'!$C$5:$C$34,'دریافت‌ها'!$B$5:$B$34,A9)</f>
        <v/>
      </c>
      <c r="I9" s="19">
        <f>SUMIFS('تعدیل‌ها'!$D$5:$D$24,'تعدیل‌ها'!$B$5:$B$24,A9,'تعدیل‌ها'!$C$5:$C$24,"استرداد وجه")</f>
        <v/>
      </c>
      <c r="J9" s="20">
        <f>B9+C9+D9+E9+F9-G9-H9+I9</f>
        <v/>
      </c>
      <c r="K9" s="4">
        <f>IF(J9&gt;0,"بدهکار",IF(J9&lt;0,"بستانکار","تسویه"))</f>
        <v/>
      </c>
    </row>
    <row r="10">
      <c r="A10" s="22">
        <f>'واحدها'!A10</f>
        <v/>
      </c>
      <c r="B10" s="19">
        <f>'افتتاحیه'!B16</f>
        <v/>
      </c>
      <c r="C10" s="20">
        <f>SUMIFS('محاسبه تسهیم'!$Q$5:$Q$265,'محاسبه تسهیم'!$C$5:$C$265,A10,'محاسبه تسهیم'!$R$5:$R$265,"عملیاتی")-D10</f>
        <v/>
      </c>
      <c r="D10" s="20">
        <f>SUMIFS('محاسبه تسهیم'!$Q$5:$Q$265,'محاسبه تسهیم'!$C$5:$C$265,A10,'محاسبه تسهیم'!$R$5:$R$265,"عملیاتی",'محاسبه تسهیم'!$T$5:$T$265,"بله")</f>
        <v/>
      </c>
      <c r="E10" s="20">
        <f>SUMIFS('محاسبه تسهیم'!$Q$5:$Q$265,'محاسبه تسهیم'!$C$5:$C$265,A10,'محاسبه تسهیم'!$R$5:$R$265,"اندوخته")</f>
        <v/>
      </c>
      <c r="F10" s="19">
        <f>SUMIFS('تعدیل‌ها'!$D$5:$D$24,'تعدیل‌ها'!$B$5:$B$24,A10,'تعدیل‌ها'!$C$5:$C$24,"بدهکار (افزایش بدهی)")</f>
        <v/>
      </c>
      <c r="G10" s="19">
        <f>SUMIFS('تعدیل‌ها'!$D$5:$D$24,'تعدیل‌ها'!$B$5:$B$24,A10,'تعدیل‌ها'!$C$5:$C$24,"بستانکار (کاهش بدهی)")</f>
        <v/>
      </c>
      <c r="H10" s="19">
        <f>SUMIFS('دریافت‌ها'!$C$5:$C$34,'دریافت‌ها'!$B$5:$B$34,A10)</f>
        <v/>
      </c>
      <c r="I10" s="19">
        <f>SUMIFS('تعدیل‌ها'!$D$5:$D$24,'تعدیل‌ها'!$B$5:$B$24,A10,'تعدیل‌ها'!$C$5:$C$24,"استرداد وجه")</f>
        <v/>
      </c>
      <c r="J10" s="20">
        <f>B10+C10+D10+E10+F10-G10-H10+I10</f>
        <v/>
      </c>
      <c r="K10" s="4">
        <f>IF(J10&gt;0,"بدهکار",IF(J10&lt;0,"بستانکار","تسویه"))</f>
        <v/>
      </c>
    </row>
    <row r="11">
      <c r="A11" s="22">
        <f>'واحدها'!A11</f>
        <v/>
      </c>
      <c r="B11" s="19">
        <f>'افتتاحیه'!B17</f>
        <v/>
      </c>
      <c r="C11" s="20">
        <f>SUMIFS('محاسبه تسهیم'!$Q$5:$Q$265,'محاسبه تسهیم'!$C$5:$C$265,A11,'محاسبه تسهیم'!$R$5:$R$265,"عملیاتی")-D11</f>
        <v/>
      </c>
      <c r="D11" s="20">
        <f>SUMIFS('محاسبه تسهیم'!$Q$5:$Q$265,'محاسبه تسهیم'!$C$5:$C$265,A11,'محاسبه تسهیم'!$R$5:$R$265,"عملیاتی",'محاسبه تسهیم'!$T$5:$T$265,"بله")</f>
        <v/>
      </c>
      <c r="E11" s="20">
        <f>SUMIFS('محاسبه تسهیم'!$Q$5:$Q$265,'محاسبه تسهیم'!$C$5:$C$265,A11,'محاسبه تسهیم'!$R$5:$R$265,"اندوخته")</f>
        <v/>
      </c>
      <c r="F11" s="19">
        <f>SUMIFS('تعدیل‌ها'!$D$5:$D$24,'تعدیل‌ها'!$B$5:$B$24,A11,'تعدیل‌ها'!$C$5:$C$24,"بدهکار (افزایش بدهی)")</f>
        <v/>
      </c>
      <c r="G11" s="19">
        <f>SUMIFS('تعدیل‌ها'!$D$5:$D$24,'تعدیل‌ها'!$B$5:$B$24,A11,'تعدیل‌ها'!$C$5:$C$24,"بستانکار (کاهش بدهی)")</f>
        <v/>
      </c>
      <c r="H11" s="19">
        <f>SUMIFS('دریافت‌ها'!$C$5:$C$34,'دریافت‌ها'!$B$5:$B$34,A11)</f>
        <v/>
      </c>
      <c r="I11" s="19">
        <f>SUMIFS('تعدیل‌ها'!$D$5:$D$24,'تعدیل‌ها'!$B$5:$B$24,A11,'تعدیل‌ها'!$C$5:$C$24,"استرداد وجه")</f>
        <v/>
      </c>
      <c r="J11" s="20">
        <f>B11+C11+D11+E11+F11-G11-H11+I11</f>
        <v/>
      </c>
      <c r="K11" s="4">
        <f>IF(J11&gt;0,"بدهکار",IF(J11&lt;0,"بستانکار","تسویه"))</f>
        <v/>
      </c>
    </row>
    <row r="12">
      <c r="A12" s="22">
        <f>'واحدها'!A12</f>
        <v/>
      </c>
      <c r="B12" s="19">
        <f>'افتتاحیه'!B18</f>
        <v/>
      </c>
      <c r="C12" s="20">
        <f>SUMIFS('محاسبه تسهیم'!$Q$5:$Q$265,'محاسبه تسهیم'!$C$5:$C$265,A12,'محاسبه تسهیم'!$R$5:$R$265,"عملیاتی")-D12</f>
        <v/>
      </c>
      <c r="D12" s="20">
        <f>SUMIFS('محاسبه تسهیم'!$Q$5:$Q$265,'محاسبه تسهیم'!$C$5:$C$265,A12,'محاسبه تسهیم'!$R$5:$R$265,"عملیاتی",'محاسبه تسهیم'!$T$5:$T$265,"بله")</f>
        <v/>
      </c>
      <c r="E12" s="20">
        <f>SUMIFS('محاسبه تسهیم'!$Q$5:$Q$265,'محاسبه تسهیم'!$C$5:$C$265,A12,'محاسبه تسهیم'!$R$5:$R$265,"اندوخته")</f>
        <v/>
      </c>
      <c r="F12" s="19">
        <f>SUMIFS('تعدیل‌ها'!$D$5:$D$24,'تعدیل‌ها'!$B$5:$B$24,A12,'تعدیل‌ها'!$C$5:$C$24,"بدهکار (افزایش بدهی)")</f>
        <v/>
      </c>
      <c r="G12" s="19">
        <f>SUMIFS('تعدیل‌ها'!$D$5:$D$24,'تعدیل‌ها'!$B$5:$B$24,A12,'تعدیل‌ها'!$C$5:$C$24,"بستانکار (کاهش بدهی)")</f>
        <v/>
      </c>
      <c r="H12" s="19">
        <f>SUMIFS('دریافت‌ها'!$C$5:$C$34,'دریافت‌ها'!$B$5:$B$34,A12)</f>
        <v/>
      </c>
      <c r="I12" s="19">
        <f>SUMIFS('تعدیل‌ها'!$D$5:$D$24,'تعدیل‌ها'!$B$5:$B$24,A12,'تعدیل‌ها'!$C$5:$C$24,"استرداد وجه")</f>
        <v/>
      </c>
      <c r="J12" s="20">
        <f>B12+C12+D12+E12+F12-G12-H12+I12</f>
        <v/>
      </c>
      <c r="K12" s="4">
        <f>IF(J12&gt;0,"بدهکار",IF(J12&lt;0,"بستانکار","تسویه"))</f>
        <v/>
      </c>
    </row>
    <row r="13">
      <c r="A13" s="22">
        <f>'واحدها'!A13</f>
        <v/>
      </c>
      <c r="B13" s="19">
        <f>'افتتاحیه'!B19</f>
        <v/>
      </c>
      <c r="C13" s="20">
        <f>SUMIFS('محاسبه تسهیم'!$Q$5:$Q$265,'محاسبه تسهیم'!$C$5:$C$265,A13,'محاسبه تسهیم'!$R$5:$R$265,"عملیاتی")-D13</f>
        <v/>
      </c>
      <c r="D13" s="20">
        <f>SUMIFS('محاسبه تسهیم'!$Q$5:$Q$265,'محاسبه تسهیم'!$C$5:$C$265,A13,'محاسبه تسهیم'!$R$5:$R$265,"عملیاتی",'محاسبه تسهیم'!$T$5:$T$265,"بله")</f>
        <v/>
      </c>
      <c r="E13" s="20">
        <f>SUMIFS('محاسبه تسهیم'!$Q$5:$Q$265,'محاسبه تسهیم'!$C$5:$C$265,A13,'محاسبه تسهیم'!$R$5:$R$265,"اندوخته")</f>
        <v/>
      </c>
      <c r="F13" s="19">
        <f>SUMIFS('تعدیل‌ها'!$D$5:$D$24,'تعدیل‌ها'!$B$5:$B$24,A13,'تعدیل‌ها'!$C$5:$C$24,"بدهکار (افزایش بدهی)")</f>
        <v/>
      </c>
      <c r="G13" s="19">
        <f>SUMIFS('تعدیل‌ها'!$D$5:$D$24,'تعدیل‌ها'!$B$5:$B$24,A13,'تعدیل‌ها'!$C$5:$C$24,"بستانکار (کاهش بدهی)")</f>
        <v/>
      </c>
      <c r="H13" s="19">
        <f>SUMIFS('دریافت‌ها'!$C$5:$C$34,'دریافت‌ها'!$B$5:$B$34,A13)</f>
        <v/>
      </c>
      <c r="I13" s="19">
        <f>SUMIFS('تعدیل‌ها'!$D$5:$D$24,'تعدیل‌ها'!$B$5:$B$24,A13,'تعدیل‌ها'!$C$5:$C$24,"استرداد وجه")</f>
        <v/>
      </c>
      <c r="J13" s="20">
        <f>B13+C13+D13+E13+F13-G13-H13+I13</f>
        <v/>
      </c>
      <c r="K13" s="4">
        <f>IF(J13&gt;0,"بدهکار",IF(J13&lt;0,"بستانکار","تسویه"))</f>
        <v/>
      </c>
    </row>
    <row r="14">
      <c r="A14" t="inlineStr">
        <is>
          <t>جمع</t>
        </is>
      </c>
      <c r="B14" s="20">
        <f>SUM(B5:B13)</f>
        <v/>
      </c>
      <c r="C14" s="20">
        <f>SUM(C5:C13)</f>
        <v/>
      </c>
      <c r="D14" s="20">
        <f>SUM(D5:D13)</f>
        <v/>
      </c>
      <c r="E14" s="20">
        <f>SUM(E5:E13)</f>
        <v/>
      </c>
      <c r="F14" s="20">
        <f>SUM(F5:F13)</f>
        <v/>
      </c>
      <c r="G14" s="20">
        <f>SUM(G5:G13)</f>
        <v/>
      </c>
      <c r="H14" s="20">
        <f>SUM(H5:H13)</f>
        <v/>
      </c>
      <c r="I14" s="20">
        <f>SUM(I5:I13)</f>
        <v/>
      </c>
      <c r="J14" s="20">
        <f>SUM(J5:J13)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صندوق‌های عملیاتی و اندوخته</t>
        </is>
      </c>
    </row>
    <row r="2">
      <c r="A2" s="8" t="inlineStr">
        <is>
          <t>مانده صندوق = افتتاحیه + شارژها ± تعدیل‌ها − هزینه‌ها ± انتقال‌ها</t>
        </is>
      </c>
    </row>
    <row r="4" ht="32" customHeight="1">
      <c r="A4" s="5" t="inlineStr">
        <is>
          <t>عنوان</t>
        </is>
      </c>
      <c r="B4" s="5" t="inlineStr">
        <is>
          <t>عملیاتی</t>
        </is>
      </c>
      <c r="C4" s="5" t="inlineStr">
        <is>
          <t>اندوخته</t>
        </is>
      </c>
      <c r="D4" s="5" t="inlineStr">
        <is>
          <t>جمع</t>
        </is>
      </c>
    </row>
    <row r="5">
      <c r="A5" t="inlineStr">
        <is>
          <t>مانده افتتاحیه</t>
        </is>
      </c>
      <c r="B5" s="20">
        <f>'افتتاحیه'!B8</f>
        <v/>
      </c>
      <c r="C5" s="20">
        <f>'افتتاحیه'!B6</f>
        <v/>
      </c>
      <c r="D5" s="20">
        <f>B5+C5</f>
        <v/>
      </c>
    </row>
    <row r="6">
      <c r="A6" t="inlineStr">
        <is>
          <t>شارژ واحدها</t>
        </is>
      </c>
      <c r="B6" s="20">
        <f>SUMIFS('سطرهای تسهیم'!$E$5:$E$33,'سطرهای تسهیم'!$F$5:$F$33,B$4)</f>
        <v/>
      </c>
      <c r="C6" s="20">
        <f>SUMIFS('سطرهای تسهیم'!$E$5:$E$33,'سطرهای تسهیم'!$F$5:$F$33,C$4)</f>
        <v/>
      </c>
      <c r="D6" s="20">
        <f>B6+C6</f>
        <v/>
      </c>
    </row>
    <row r="7">
      <c r="A7" t="inlineStr">
        <is>
          <t>تعدیل بدهکار</t>
        </is>
      </c>
      <c r="B7" s="20">
        <f>SUMIFS('تعدیل‌ها'!$D$5:$D$24,'تعدیل‌ها'!$E$5:$E$24,B$4,'تعدیل‌ها'!$C$5:$C$24,"بدهکار (افزایش بدهی)")</f>
        <v/>
      </c>
      <c r="C7" s="20">
        <f>SUMIFS('تعدیل‌ها'!$D$5:$D$24,'تعدیل‌ها'!$E$5:$E$24,C$4,'تعدیل‌ها'!$C$5:$C$24,"بدهکار (افزایش بدهی)")</f>
        <v/>
      </c>
      <c r="D7" s="20">
        <f>B7+C7</f>
        <v/>
      </c>
    </row>
    <row r="8">
      <c r="A8" t="inlineStr">
        <is>
          <t>تعدیل بستانکار (−)</t>
        </is>
      </c>
      <c r="B8" s="20">
        <f>-SUMIFS('تعدیل‌ها'!$D$5:$D$24,'تعدیل‌ها'!$E$5:$E$24,B$4,'تعدیل‌ها'!$C$5:$C$24,"بستانکار (کاهش بدهی)")</f>
        <v/>
      </c>
      <c r="C8" s="20">
        <f>-SUMIFS('تعدیل‌ها'!$D$5:$D$24,'تعدیل‌ها'!$E$5:$E$24,C$4,'تعدیل‌ها'!$C$5:$C$24,"بستانکار (کاهش بدهی)")</f>
        <v/>
      </c>
      <c r="D8" s="20">
        <f>B8+C8</f>
        <v/>
      </c>
    </row>
    <row r="9">
      <c r="A9" t="inlineStr">
        <is>
          <t>هزینه‌ها (−)</t>
        </is>
      </c>
      <c r="B9" s="20">
        <f>-SUMIFS('هزینه‌ها'!$F$5:$F$16,'هزینه‌ها'!$H$5:$H$16,B$4)</f>
        <v/>
      </c>
      <c r="C9" s="20">
        <f>-SUMIFS('هزینه‌ها'!$F$5:$F$16,'هزینه‌ها'!$H$5:$H$16,C$4)</f>
        <v/>
      </c>
      <c r="D9" s="20">
        <f>B9+C9</f>
        <v/>
      </c>
    </row>
    <row r="10">
      <c r="A10" t="inlineStr">
        <is>
          <t>انتقال ورودی</t>
        </is>
      </c>
      <c r="B10" s="20">
        <f>SUMIFS('انتقال‌ها'!$D$5:$D$14,'انتقال‌ها'!$C$5:$C$14,B$4)</f>
        <v/>
      </c>
      <c r="C10" s="20">
        <f>SUMIFS('انتقال‌ها'!$D$5:$D$14,'انتقال‌ها'!$C$5:$C$14,C$4)</f>
        <v/>
      </c>
      <c r="D10" s="20">
        <f>B10+C10</f>
        <v/>
      </c>
    </row>
    <row r="11">
      <c r="A11" t="inlineStr">
        <is>
          <t>انتقال خروجی (−)</t>
        </is>
      </c>
      <c r="B11" s="20">
        <f>-SUMIFS('انتقال‌ها'!$D$5:$D$14,'انتقال‌ها'!$B$5:$B$14,B$4)</f>
        <v/>
      </c>
      <c r="C11" s="20">
        <f>-SUMIFS('انتقال‌ها'!$D$5:$D$14,'انتقال‌ها'!$B$5:$B$14,C$4)</f>
        <v/>
      </c>
      <c r="D11" s="20">
        <f>B11+C11</f>
        <v/>
      </c>
    </row>
    <row r="12">
      <c r="A12" s="13" t="inlineStr">
        <is>
          <t>مانده پایانی</t>
        </is>
      </c>
      <c r="B12" s="20">
        <f>SUM(B5:B11)</f>
        <v/>
      </c>
      <c r="C12" s="20">
        <f>SUM(C5:C11)</f>
        <v/>
      </c>
      <c r="D12" s="20">
        <f>SUM(D5:D11)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0" customWidth="1" min="4" max="4"/>
    <col width="16" customWidth="1" min="5" max="5"/>
    <col width="16" customWidth="1" min="6" max="6"/>
  </cols>
  <sheetData>
    <row r="1">
      <c r="A1" s="1" t="inlineStr">
        <is>
          <t>خلاصه ماهانه و تطبیق</t>
        </is>
      </c>
    </row>
    <row r="2">
      <c r="A2" s="8" t="inlineStr">
        <is>
          <t>بدهی ساکنان (مطالبات) با موجودی نقد ساختمان متفاوت است.</t>
        </is>
      </c>
    </row>
    <row r="4">
      <c r="A4" s="23" t="inlineStr">
        <is>
          <t>موجودی نقد</t>
        </is>
      </c>
      <c r="D4" s="23" t="inlineStr">
        <is>
          <t>هزینه‌ها به تفکیک دسته</t>
        </is>
      </c>
    </row>
    <row r="5">
      <c r="A5" s="6" t="inlineStr">
        <is>
          <t>موجودی نقد افتتاحیه</t>
        </is>
      </c>
      <c r="B5" s="19">
        <f>'افتتاحیه'!B5</f>
        <v/>
      </c>
      <c r="D5" s="21" t="inlineStr">
        <is>
          <t>دسته</t>
        </is>
      </c>
      <c r="E5" s="21" t="inlineStr">
        <is>
          <t>هزینه ثبت‌شده</t>
        </is>
      </c>
      <c r="F5" s="21" t="inlineStr">
        <is>
          <t>شارژ تسهیم‌شده</t>
        </is>
      </c>
    </row>
    <row r="6">
      <c r="A6" s="6" t="inlineStr">
        <is>
          <t>دریافت از واحدها</t>
        </is>
      </c>
      <c r="B6" s="19">
        <f>SUM('دریافت‌ها'!C5:C34)</f>
        <v/>
      </c>
      <c r="D6" s="22">
        <f>'دسته‌ها'!A5</f>
        <v/>
      </c>
      <c r="E6" s="19">
        <f>SUMIFS('هزینه‌ها'!$F$5:$F$16,'هزینه‌ها'!$D$5:$D$16,D6)</f>
        <v/>
      </c>
      <c r="F6" s="19">
        <f>SUMIFS('محاسبه تسهیم'!$Q$5:$Q$265,'محاسبه تسهیم'!$S$5:$S$265,D6)</f>
        <v/>
      </c>
    </row>
    <row r="7">
      <c r="A7" s="6" t="inlineStr">
        <is>
          <t>پرداخت به تامین‌کنندگان</t>
        </is>
      </c>
      <c r="B7" s="19">
        <f>-SUM('پرداخت‌ها'!C5:C34)</f>
        <v/>
      </c>
      <c r="D7" s="22">
        <f>'دسته‌ها'!A6</f>
        <v/>
      </c>
      <c r="E7" s="19">
        <f>SUMIFS('هزینه‌ها'!$F$5:$F$16,'هزینه‌ها'!$D$5:$D$16,D7)</f>
        <v/>
      </c>
      <c r="F7" s="19">
        <f>SUMIFS('محاسبه تسهیم'!$Q$5:$Q$265,'محاسبه تسهیم'!$S$5:$S$265,D7)</f>
        <v/>
      </c>
    </row>
    <row r="8">
      <c r="A8" s="6" t="inlineStr">
        <is>
          <t>استرداد وجه</t>
        </is>
      </c>
      <c r="B8" s="19">
        <f>-SUMIFS('تعدیل‌ها'!$D$5:$D$24,'تعدیل‌ها'!$C$5:$C$24,"استرداد وجه")</f>
        <v/>
      </c>
      <c r="D8" s="22">
        <f>'دسته‌ها'!A7</f>
        <v/>
      </c>
      <c r="E8" s="19">
        <f>SUMIFS('هزینه‌ها'!$F$5:$F$16,'هزینه‌ها'!$D$5:$D$16,D8)</f>
        <v/>
      </c>
      <c r="F8" s="19">
        <f>SUMIFS('محاسبه تسهیم'!$Q$5:$Q$265,'محاسبه تسهیم'!$S$5:$S$265,D8)</f>
        <v/>
      </c>
    </row>
    <row r="9">
      <c r="A9" s="6" t="inlineStr">
        <is>
          <t>موجودی نقد پایانی</t>
        </is>
      </c>
      <c r="B9" s="20">
        <f>SUM(B5:B8)</f>
        <v/>
      </c>
      <c r="D9" s="22">
        <f>'دسته‌ها'!A8</f>
        <v/>
      </c>
      <c r="E9" s="19">
        <f>SUMIFS('هزینه‌ها'!$F$5:$F$16,'هزینه‌ها'!$D$5:$D$16,D9)</f>
        <v/>
      </c>
      <c r="F9" s="19">
        <f>SUMIFS('محاسبه تسهیم'!$Q$5:$Q$265,'محاسبه تسهیم'!$S$5:$S$265,D9)</f>
        <v/>
      </c>
    </row>
    <row r="10">
      <c r="A10" s="23" t="inlineStr"/>
      <c r="D10" s="22">
        <f>'دسته‌ها'!A9</f>
        <v/>
      </c>
      <c r="E10" s="19">
        <f>SUMIFS('هزینه‌ها'!$F$5:$F$16,'هزینه‌ها'!$D$5:$D$16,D10)</f>
        <v/>
      </c>
      <c r="F10" s="19">
        <f>SUMIFS('محاسبه تسهیم'!$Q$5:$Q$265,'محاسبه تسهیم'!$S$5:$S$265,D10)</f>
        <v/>
      </c>
    </row>
    <row r="11">
      <c r="A11" s="23" t="inlineStr">
        <is>
          <t>وضعیت مالی</t>
        </is>
      </c>
      <c r="D11" s="22">
        <f>'دسته‌ها'!A10</f>
        <v/>
      </c>
      <c r="E11" s="19">
        <f>SUMIFS('هزینه‌ها'!$F$5:$F$16,'هزینه‌ها'!$D$5:$D$16,D11)</f>
        <v/>
      </c>
      <c r="F11" s="19">
        <f>SUMIFS('محاسبه تسهیم'!$Q$5:$Q$265,'محاسبه تسهیم'!$S$5:$S$265,D11)</f>
        <v/>
      </c>
    </row>
    <row r="12">
      <c r="A12" s="6" t="inlineStr">
        <is>
          <t>مطالبات از واحدها (خالص)</t>
        </is>
      </c>
      <c r="B12" s="19">
        <f>'مانده واحدها'!$J$14</f>
        <v/>
      </c>
      <c r="D12" s="22">
        <f>'دسته‌ها'!A11</f>
        <v/>
      </c>
      <c r="E12" s="19">
        <f>SUMIFS('هزینه‌ها'!$F$5:$F$16,'هزینه‌ها'!$D$5:$D$16,D12)</f>
        <v/>
      </c>
      <c r="F12" s="19">
        <f>SUMIFS('محاسبه تسهیم'!$Q$5:$Q$265,'محاسبه تسهیم'!$S$5:$S$265,D12)</f>
        <v/>
      </c>
    </row>
    <row r="13">
      <c r="A13" s="6" t="inlineStr">
        <is>
          <t>بدهی به تامین‌کنندگان</t>
        </is>
      </c>
      <c r="B13" s="19">
        <f>'افتتاحیه'!B7+'هزینه‌ها'!F17-SUM('پرداخت‌ها'!C5:C34)</f>
        <v/>
      </c>
      <c r="D13" s="22">
        <f>'دسته‌ها'!A12</f>
        <v/>
      </c>
      <c r="E13" s="19">
        <f>SUMIFS('هزینه‌ها'!$F$5:$F$16,'هزینه‌ها'!$D$5:$D$16,D13)</f>
        <v/>
      </c>
      <c r="F13" s="19">
        <f>SUMIFS('محاسبه تسهیم'!$Q$5:$Q$265,'محاسبه تسهیم'!$S$5:$S$265,D13)</f>
        <v/>
      </c>
    </row>
    <row r="14">
      <c r="A14" s="6" t="inlineStr">
        <is>
          <t>مانده صندوق عملیاتی</t>
        </is>
      </c>
      <c r="B14" s="19">
        <f>'صندوق‌ها'!B12</f>
        <v/>
      </c>
      <c r="D14" s="22">
        <f>'دسته‌ها'!A13</f>
        <v/>
      </c>
      <c r="E14" s="19">
        <f>SUMIFS('هزینه‌ها'!$F$5:$F$16,'هزینه‌ها'!$D$5:$D$16,D14)</f>
        <v/>
      </c>
      <c r="F14" s="19">
        <f>SUMIFS('محاسبه تسهیم'!$Q$5:$Q$265,'محاسبه تسهیم'!$S$5:$S$265,D14)</f>
        <v/>
      </c>
    </row>
    <row r="15">
      <c r="A15" s="6" t="inlineStr">
        <is>
          <t>مانده صندوق اندوخته</t>
        </is>
      </c>
      <c r="B15" s="19">
        <f>'صندوق‌ها'!C12</f>
        <v/>
      </c>
      <c r="D15" s="22">
        <f>'دسته‌ها'!A14</f>
        <v/>
      </c>
      <c r="E15" s="19">
        <f>SUMIFS('هزینه‌ها'!$F$5:$F$16,'هزینه‌ها'!$D$5:$D$16,D15)</f>
        <v/>
      </c>
      <c r="F15" s="19">
        <f>SUMIFS('محاسبه تسهیم'!$Q$5:$Q$265,'محاسبه تسهیم'!$S$5:$S$265,D15)</f>
        <v/>
      </c>
    </row>
    <row r="16">
      <c r="A16" s="6" t="inlineStr">
        <is>
          <t>تطبیق: نقد + مطالبات − بدهی − صندوق‌ها (باید ۰ باشد)</t>
        </is>
      </c>
      <c r="B16" s="20">
        <f>B9+B12-B13-B14-B15</f>
        <v/>
      </c>
      <c r="D16" s="22">
        <f>'دسته‌ها'!A15</f>
        <v/>
      </c>
      <c r="E16" s="19">
        <f>SUMIFS('هزینه‌ها'!$F$5:$F$16,'هزینه‌ها'!$D$5:$D$16,D16)</f>
        <v/>
      </c>
      <c r="F16" s="19">
        <f>SUMIFS('محاسبه تسهیم'!$Q$5:$Q$265,'محاسبه تسهیم'!$S$5:$S$265,D16)</f>
        <v/>
      </c>
    </row>
    <row r="17">
      <c r="A17" s="23" t="inlineStr"/>
      <c r="D17" s="22">
        <f>'دسته‌ها'!A16</f>
        <v/>
      </c>
      <c r="E17" s="19">
        <f>SUMIFS('هزینه‌ها'!$F$5:$F$16,'هزینه‌ها'!$D$5:$D$16,D17)</f>
        <v/>
      </c>
      <c r="F17" s="19">
        <f>SUMIFS('محاسبه تسهیم'!$Q$5:$Q$265,'محاسبه تسهیم'!$S$5:$S$265,D17)</f>
        <v/>
      </c>
    </row>
    <row r="18">
      <c r="A18" s="23" t="inlineStr">
        <is>
          <t>آب</t>
        </is>
      </c>
      <c r="D18" s="22">
        <f>'دسته‌ها'!A17</f>
        <v/>
      </c>
      <c r="E18" s="19">
        <f>SUMIFS('هزینه‌ها'!$F$5:$F$16,'هزینه‌ها'!$D$5:$D$16,D18)</f>
        <v/>
      </c>
      <c r="F18" s="19">
        <f>SUMIFS('محاسبه تسهیم'!$Q$5:$Q$265,'محاسبه تسهیم'!$S$5:$S$265,D18)</f>
        <v/>
      </c>
    </row>
    <row r="19">
      <c r="A19" s="6" t="inlineStr">
        <is>
          <t>مصرف کنتور اصلی (m³)</t>
        </is>
      </c>
      <c r="B19" s="11">
        <f>'کنتورها'!$M$5</f>
        <v/>
      </c>
      <c r="D19" s="22">
        <f>'دسته‌ها'!A18</f>
        <v/>
      </c>
      <c r="E19" s="19">
        <f>SUMIFS('هزینه‌ها'!$F$5:$F$16,'هزینه‌ها'!$D$5:$D$16,D19)</f>
        <v/>
      </c>
      <c r="F19" s="19">
        <f>SUMIFS('محاسبه تسهیم'!$Q$5:$Q$265,'محاسبه تسهیم'!$S$5:$S$265,D19)</f>
        <v/>
      </c>
    </row>
    <row r="20">
      <c r="A20" s="6" t="inlineStr">
        <is>
          <t>مجموع کنتورهای واحد (m³)</t>
        </is>
      </c>
      <c r="B20" s="11">
        <f>'کنتورها'!$M$6</f>
        <v/>
      </c>
      <c r="D20" s="22">
        <f>'دسته‌ها'!A19</f>
        <v/>
      </c>
      <c r="E20" s="19">
        <f>SUMIFS('هزینه‌ها'!$F$5:$F$16,'هزینه‌ها'!$D$5:$D$16,D20)</f>
        <v/>
      </c>
      <c r="F20" s="19">
        <f>SUMIFS('محاسبه تسهیم'!$Q$5:$Q$265,'محاسبه تسهیم'!$S$5:$S$265,D20)</f>
        <v/>
      </c>
    </row>
    <row r="21">
      <c r="A21" s="6" t="inlineStr">
        <is>
          <t>مصرف تخصیص‌نیافته (m³)</t>
        </is>
      </c>
      <c r="B21" s="11">
        <f>'کنتورها'!$M$7</f>
        <v/>
      </c>
      <c r="D21" t="inlineStr">
        <is>
          <t>جمع</t>
        </is>
      </c>
      <c r="E21" s="20">
        <f>SUM(E6:E20)</f>
        <v/>
      </c>
      <c r="F21" s="20">
        <f>SUM(F6:F20)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</cols>
  <sheetData>
    <row r="1">
      <c r="A1" s="1" t="inlineStr">
        <is>
          <t>کنترل‌های یکپارچگی و سناریوهای آزمون</t>
        </is>
      </c>
    </row>
    <row r="2">
      <c r="A2" s="8" t="inlineStr">
        <is>
          <t>مقادیر مورد انتظار با پیاده‌سازی مستقل (کسر دقیق) محاسبه و در آزمون کاتلین هم بررسی شده‌اند.</t>
        </is>
      </c>
    </row>
    <row r="4" ht="32" customHeight="1">
      <c r="A4" s="5" t="inlineStr">
        <is>
          <t>کنترل / سناریو</t>
        </is>
      </c>
      <c r="B4" s="5" t="inlineStr">
        <is>
          <t>مقدار محاسبه‌شده</t>
        </is>
      </c>
      <c r="C4" s="5" t="inlineStr">
        <is>
          <t>مقدار مورد انتظار</t>
        </is>
      </c>
      <c r="D4" s="5" t="inlineStr">
        <is>
          <t>نتیجه</t>
        </is>
      </c>
    </row>
    <row r="5">
      <c r="A5" s="6" t="inlineStr">
        <is>
          <t>جمع اختلاف سطرهای تسهیم با مبلغ سطر (باید ۰)</t>
        </is>
      </c>
      <c r="B5" s="20">
        <f>SUMPRODUCT(ABS('ریز شارژ'!N5:N33))</f>
        <v/>
      </c>
      <c r="C5" s="24" t="n">
        <v>0</v>
      </c>
      <c r="D5" s="25">
        <f>IF(B5=C5,"درست","نادرست")</f>
        <v/>
      </c>
    </row>
    <row r="6">
      <c r="A6" s="6" t="inlineStr">
        <is>
          <t>تطبیق ترازنامه (نقد + مطالبات − بدهی − صندوق‌ها)</t>
        </is>
      </c>
      <c r="B6" s="20">
        <f>'خلاصه ماهانه'!B16</f>
        <v/>
      </c>
      <c r="C6" s="24" t="n">
        <v>0</v>
      </c>
      <c r="D6" s="25">
        <f>IF(B6=C6,"درست","نادرست")</f>
        <v/>
      </c>
    </row>
    <row r="7">
      <c r="A7" s="6" t="inlineStr">
        <is>
          <t>مانده نقد دفتر صندوق = خلاصه</t>
        </is>
      </c>
      <c r="B7" s="20">
        <f>'دفتر صندوق'!$H$86-'خلاصه ماهانه'!B9</f>
        <v/>
      </c>
      <c r="C7" s="24" t="n">
        <v>0</v>
      </c>
      <c r="D7" s="25">
        <f>IF(B7=C7,"درست","نادرست")</f>
        <v/>
      </c>
    </row>
    <row r="8">
      <c r="A8" s="6" t="inlineStr">
        <is>
          <t>تعداد خطای قرائت کنتور</t>
        </is>
      </c>
      <c r="B8" s="20">
        <f>'کنتورها'!$M$9</f>
        <v/>
      </c>
      <c r="C8" s="24" t="n">
        <v>0</v>
      </c>
      <c r="D8" s="25">
        <f>IF(B8=C8,"درست","نادرست")</f>
        <v/>
      </c>
    </row>
    <row r="9">
      <c r="A9" s="6" t="inlineStr">
        <is>
          <t>تعداد قرائت ناقص</t>
        </is>
      </c>
      <c r="B9" s="20">
        <f>'کنتورها'!$M$10</f>
        <v/>
      </c>
      <c r="C9" s="24" t="n">
        <v>0</v>
      </c>
      <c r="D9" s="25">
        <f>IF(B9=C9,"درست","نادرست")</f>
        <v/>
      </c>
    </row>
    <row r="10">
      <c r="A10" s="6" t="inlineStr">
        <is>
          <t>سهم مشترک آب منفی نیست (۱=درست)</t>
        </is>
      </c>
      <c r="B10" s="20">
        <f>IF('کنتورها'!$M$7&gt;=0,1,0)</f>
        <v/>
      </c>
      <c r="C10" s="24" t="n">
        <v>1</v>
      </c>
      <c r="D10" s="25">
        <f>IF(B10=C10,"درست","نادرست")</f>
        <v/>
      </c>
    </row>
    <row r="11">
      <c r="A11" s="6" t="inlineStr">
        <is>
          <t>سطر با مبلغ و بدون وزن (تسهیم‌نشده)</t>
        </is>
      </c>
      <c r="B11" s="20">
        <f>COUNTIFS('سطرهای تسهیم'!E5:E33,"&gt;0",'سطرهای تسهیم'!I5:I33,0)</f>
        <v/>
      </c>
      <c r="C11" s="24" t="n">
        <v>0</v>
      </c>
      <c r="D11" s="25">
        <f>IF(B11=C11,"درست","نادرست")</f>
        <v/>
      </c>
    </row>
    <row r="12">
      <c r="A12" s="6" t="inlineStr">
        <is>
          <t>مبلغ صریح: اختلاف جمع ردیف با مبلغ هزینه</t>
        </is>
      </c>
      <c r="B12" s="20">
        <f>SUMPRODUCT(('هزینه‌ها'!G5:G16="مبلغ صریح")*ABS('هزینه‌ها'!F5:F16-'وزن‌ها'!K5:K16))</f>
        <v/>
      </c>
      <c r="C12" s="24" t="n">
        <v>0</v>
      </c>
      <c r="D12" s="25">
        <f>IF(B12=C12,"درست","نادرست")</f>
        <v/>
      </c>
    </row>
    <row r="13">
      <c r="A13" s="6" t="inlineStr">
        <is>
          <t>تعدیل بدون دلیل</t>
        </is>
      </c>
      <c r="B13" s="20">
        <f>SUMPRODUCT(('تعدیل‌ها'!D5:D24&gt;0)*('تعدیل‌ها'!F5:F24=""))</f>
        <v/>
      </c>
      <c r="C13" s="24" t="n">
        <v>0</v>
      </c>
      <c r="D13" s="25">
        <f>IF(B13=C13,"درست","نادرست")</f>
        <v/>
      </c>
    </row>
    <row r="14">
      <c r="A14" s="6" t="inlineStr">
        <is>
          <t>پرداخت مازاد به تامین‌کننده</t>
        </is>
      </c>
      <c r="B14" s="20">
        <f>COUNTIF('هزینه‌ها'!L5:L16,"پرداخت مازاد!")</f>
        <v/>
      </c>
      <c r="C14" s="24" t="n">
        <v>0</v>
      </c>
      <c r="D14" s="25">
        <f>IF(B14=C14,"درست","نادرست")</f>
        <v/>
      </c>
    </row>
    <row r="15">
      <c r="A15" s="6" t="inlineStr">
        <is>
          <t>مصرف تخصیص‌نیافته آب (لیتر)</t>
        </is>
      </c>
      <c r="B15" s="20">
        <f>ROUND('کنتورها'!$M$7*1000,0)</f>
        <v/>
      </c>
      <c r="C15" s="24" t="n">
        <v>26500</v>
      </c>
      <c r="D15" s="25">
        <f>IF(B15=C15,"درست","نادرست")</f>
        <v/>
      </c>
    </row>
    <row r="16">
      <c r="A16" s="6" t="inlineStr">
        <is>
          <t>مانده پایانی نقد</t>
        </is>
      </c>
      <c r="B16" s="20">
        <f>'دفتر صندوق'!$H$86</f>
        <v/>
      </c>
      <c r="C16" s="24" t="n">
        <v>69000000</v>
      </c>
      <c r="D16" s="25">
        <f>IF(B16=C16,"درست","نادرست")</f>
        <v/>
      </c>
    </row>
    <row r="17">
      <c r="A17" s="6" t="inlineStr">
        <is>
          <t>مانده صندوق عملیاتی</t>
        </is>
      </c>
      <c r="B17" s="20">
        <f>'صندوق‌ها'!B12</f>
        <v/>
      </c>
      <c r="C17" s="24" t="n">
        <v>15400000</v>
      </c>
      <c r="D17" s="25">
        <f>IF(B17=C17,"درست","نادرست")</f>
        <v/>
      </c>
    </row>
    <row r="18">
      <c r="A18" s="6" t="inlineStr">
        <is>
          <t>مانده صندوق اندوخته</t>
        </is>
      </c>
      <c r="B18" s="20">
        <f>'صندوق‌ها'!C12</f>
        <v/>
      </c>
      <c r="C18" s="24" t="n">
        <v>51000000</v>
      </c>
      <c r="D18" s="25">
        <f>IF(B18=C18,"درست","نادرست")</f>
        <v/>
      </c>
    </row>
    <row r="19">
      <c r="A19" s="6" t="inlineStr">
        <is>
          <t>بدهی به تامین‌کنندگان</t>
        </is>
      </c>
      <c r="B19" s="20">
        <f>'خلاصه ماهانه'!B13</f>
        <v/>
      </c>
      <c r="C19" s="24" t="n">
        <v>24000000</v>
      </c>
      <c r="D19" s="25">
        <f>IF(B19=C19,"درست","نادرست")</f>
        <v/>
      </c>
    </row>
    <row r="20">
      <c r="A20" s="6" t="inlineStr">
        <is>
          <t>جمع شارژ واحد 1-1</t>
        </is>
      </c>
      <c r="B20" s="20">
        <f>SUMIFS('محاسبه تسهیم'!$Q$5:$Q$265,'محاسبه تسهیم'!$C$5:$C$265,"1-1")</f>
        <v/>
      </c>
      <c r="C20" s="24" t="n">
        <v>4902000</v>
      </c>
      <c r="D20" s="25">
        <f>IF(B20=C20,"درست","نادرست")</f>
        <v/>
      </c>
    </row>
    <row r="21">
      <c r="A21" s="6" t="inlineStr">
        <is>
          <t>مانده پایانی واحد 1-1</t>
        </is>
      </c>
      <c r="B21" s="20">
        <f>'مانده واحدها'!J5</f>
        <v/>
      </c>
      <c r="C21" s="24" t="n">
        <v>1902000</v>
      </c>
      <c r="D21" s="25">
        <f>IF(B21=C21,"درست","نادرست")</f>
        <v/>
      </c>
    </row>
    <row r="22">
      <c r="A22" s="6" t="inlineStr">
        <is>
          <t>جمع شارژ واحد 1-2</t>
        </is>
      </c>
      <c r="B22" s="20">
        <f>SUMIFS('محاسبه تسهیم'!$Q$5:$Q$265,'محاسبه تسهیم'!$C$5:$C$265,"1-2")</f>
        <v/>
      </c>
      <c r="C22" s="24" t="n">
        <v>2971000</v>
      </c>
      <c r="D22" s="25">
        <f>IF(B22=C22,"درست","نادرست")</f>
        <v/>
      </c>
    </row>
    <row r="23">
      <c r="A23" s="6" t="inlineStr">
        <is>
          <t>مانده پایانی واحد 1-2</t>
        </is>
      </c>
      <c r="B23" s="20">
        <f>'مانده واحدها'!J6</f>
        <v/>
      </c>
      <c r="C23" s="24" t="n">
        <v>1871000</v>
      </c>
      <c r="D23" s="25">
        <f>IF(B23=C23,"درست","نادرست")</f>
        <v/>
      </c>
    </row>
    <row r="24">
      <c r="A24" s="6" t="inlineStr">
        <is>
          <t>جمع شارژ واحد 1-3</t>
        </is>
      </c>
      <c r="B24" s="20">
        <f>SUMIFS('محاسبه تسهیم'!$Q$5:$Q$265,'محاسبه تسهیم'!$C$5:$C$265,"1-3")</f>
        <v/>
      </c>
      <c r="C24" s="24" t="n">
        <v>4385000</v>
      </c>
      <c r="D24" s="25">
        <f>IF(B24=C24,"درست","نادرست")</f>
        <v/>
      </c>
    </row>
    <row r="25">
      <c r="A25" s="6" t="inlineStr">
        <is>
          <t>مانده پایانی واحد 1-3</t>
        </is>
      </c>
      <c r="B25" s="20">
        <f>'مانده واحدها'!J7</f>
        <v/>
      </c>
      <c r="C25" s="24" t="n">
        <v>4385000</v>
      </c>
      <c r="D25" s="25">
        <f>IF(B25=C25,"درست","نادرست")</f>
        <v/>
      </c>
    </row>
    <row r="26">
      <c r="A26" s="6" t="inlineStr">
        <is>
          <t>جمع شارژ واحد 2-1</t>
        </is>
      </c>
      <c r="B26" s="20">
        <f>SUMIFS('محاسبه تسهیم'!$Q$5:$Q$265,'محاسبه تسهیم'!$C$5:$C$265,"2-1")</f>
        <v/>
      </c>
      <c r="C26" s="24" t="n">
        <v>9862000</v>
      </c>
      <c r="D26" s="25">
        <f>IF(B26=C26,"درست","نادرست")</f>
        <v/>
      </c>
    </row>
    <row r="27">
      <c r="A27" s="6" t="inlineStr">
        <is>
          <t>مانده پایانی واحد 2-1</t>
        </is>
      </c>
      <c r="B27" s="20">
        <f>'مانده واحدها'!J8</f>
        <v/>
      </c>
      <c r="C27" s="24" t="n">
        <v>862000</v>
      </c>
      <c r="D27" s="25">
        <f>IF(B27=C27,"درست","نادرست")</f>
        <v/>
      </c>
    </row>
    <row r="28">
      <c r="A28" s="6" t="inlineStr">
        <is>
          <t>جمع شارژ واحد 2-2</t>
        </is>
      </c>
      <c r="B28" s="20">
        <f>SUMIFS('محاسبه تسهیم'!$Q$5:$Q$265,'محاسبه تسهیم'!$C$5:$C$265,"2-2")</f>
        <v/>
      </c>
      <c r="C28" s="24" t="n">
        <v>5789000</v>
      </c>
      <c r="D28" s="25">
        <f>IF(B28=C28,"درست","نادرست")</f>
        <v/>
      </c>
    </row>
    <row r="29">
      <c r="A29" s="6" t="inlineStr">
        <is>
          <t>مانده پایانی واحد 2-2</t>
        </is>
      </c>
      <c r="B29" s="20">
        <f>'مانده واحدها'!J9</f>
        <v/>
      </c>
      <c r="C29" s="24" t="n">
        <v>1289000</v>
      </c>
      <c r="D29" s="25">
        <f>IF(B29=C29,"درست","نادرست")</f>
        <v/>
      </c>
    </row>
    <row r="30">
      <c r="A30" s="6" t="inlineStr">
        <is>
          <t>جمع شارژ واحد 3-1</t>
        </is>
      </c>
      <c r="B30" s="20">
        <f>SUMIFS('محاسبه تسهیم'!$Q$5:$Q$265,'محاسبه تسهیم'!$C$5:$C$265,"3-1")</f>
        <v/>
      </c>
      <c r="C30" s="24" t="n">
        <v>9930000</v>
      </c>
      <c r="D30" s="25">
        <f>IF(B30=C30,"درست","نادرست")</f>
        <v/>
      </c>
    </row>
    <row r="31">
      <c r="A31" s="6" t="inlineStr">
        <is>
          <t>مانده پایانی واحد 3-1</t>
        </is>
      </c>
      <c r="B31" s="20">
        <f>'مانده واحدها'!J10</f>
        <v/>
      </c>
      <c r="C31" s="24" t="n">
        <v>-70000</v>
      </c>
      <c r="D31" s="25">
        <f>IF(B31=C31,"درست","نادرست")</f>
        <v/>
      </c>
    </row>
    <row r="32">
      <c r="A32" s="6" t="inlineStr">
        <is>
          <t>جمع شارژ واحد 3-2</t>
        </is>
      </c>
      <c r="B32" s="20">
        <f>SUMIFS('محاسبه تسهیم'!$Q$5:$Q$265,'محاسبه تسهیم'!$C$5:$C$265,"3-2")</f>
        <v/>
      </c>
      <c r="C32" s="24" t="n">
        <v>7168000</v>
      </c>
      <c r="D32" s="25">
        <f>IF(B32=C32,"درست","نادرست")</f>
        <v/>
      </c>
    </row>
    <row r="33">
      <c r="A33" s="6" t="inlineStr">
        <is>
          <t>مانده پایانی واحد 3-2</t>
        </is>
      </c>
      <c r="B33" s="20">
        <f>'مانده واحدها'!J11</f>
        <v/>
      </c>
      <c r="C33" s="24" t="n">
        <v>3168000</v>
      </c>
      <c r="D33" s="25">
        <f>IF(B33=C33,"درست","نادرست")</f>
        <v/>
      </c>
    </row>
    <row r="34">
      <c r="A34" s="6" t="inlineStr">
        <is>
          <t>جمع شارژ واحد 4-1</t>
        </is>
      </c>
      <c r="B34" s="20">
        <f>SUMIFS('محاسبه تسهیم'!$Q$5:$Q$265,'محاسبه تسهیم'!$C$5:$C$265,"4-1")</f>
        <v/>
      </c>
      <c r="C34" s="24" t="n">
        <v>9678000</v>
      </c>
      <c r="D34" s="25">
        <f>IF(B34=C34,"درست","نادرست")</f>
        <v/>
      </c>
    </row>
    <row r="35">
      <c r="A35" s="6" t="inlineStr">
        <is>
          <t>مانده پایانی واحد 4-1</t>
        </is>
      </c>
      <c r="B35" s="20">
        <f>'مانده واحدها'!J12</f>
        <v/>
      </c>
      <c r="C35" s="24" t="n">
        <v>4678000</v>
      </c>
      <c r="D35" s="25">
        <f>IF(B35=C35,"درست","نادرست")</f>
        <v/>
      </c>
    </row>
    <row r="36">
      <c r="A36" s="6" t="inlineStr">
        <is>
          <t>جمع شارژ واحد 4-2</t>
        </is>
      </c>
      <c r="B36" s="20">
        <f>SUMIFS('محاسبه تسهیم'!$Q$5:$Q$265,'محاسبه تسهیم'!$C$5:$C$265,"4-2")</f>
        <v/>
      </c>
      <c r="C36" s="24" t="n">
        <v>7915000</v>
      </c>
      <c r="D36" s="25">
        <f>IF(B36=C36,"درست","نادرست")</f>
        <v/>
      </c>
    </row>
    <row r="37">
      <c r="A37" s="6" t="inlineStr">
        <is>
          <t>مانده پایانی واحد 4-2</t>
        </is>
      </c>
      <c r="B37" s="20">
        <f>'مانده واحدها'!J13</f>
        <v/>
      </c>
      <c r="C37" s="24" t="n">
        <v>3315000</v>
      </c>
      <c r="D37" s="25">
        <f>IF(B37=C37,"درست","نادرست")</f>
        <v/>
      </c>
    </row>
    <row r="38">
      <c r="A38" s="6" t="inlineStr">
        <is>
          <t>سهم 3-1 از E1 (نفر)</t>
        </is>
      </c>
      <c r="B38" s="20">
        <f>SUMIFS('محاسبه تسهیم'!$Q$5:$Q$265,'محاسبه تسهیم'!$A$5:$A$265,"L1",'محاسبه تسهیم'!$C$5:$C$265,"3-1")</f>
        <v/>
      </c>
      <c r="C38" s="24" t="n">
        <v>1731000</v>
      </c>
      <c r="D38" s="25">
        <f>IF(B38=C38,"درست","نادرست")</f>
        <v/>
      </c>
    </row>
    <row r="39">
      <c r="A39" s="6" t="inlineStr">
        <is>
          <t>سهم 1-1 از E3 (متراژ)</t>
        </is>
      </c>
      <c r="B39" s="20">
        <f>SUMIFS('محاسبه تسهیم'!$Q$5:$Q$265,'محاسبه تسهیم'!$A$5:$A$265,"L5",'محاسبه تسهیم'!$C$5:$C$265,"1-1")</f>
        <v/>
      </c>
      <c r="C39" s="24" t="n">
        <v>751000</v>
      </c>
      <c r="D39" s="25">
        <f>IF(B39=C39,"درست","نادرست")</f>
        <v/>
      </c>
    </row>
    <row r="40">
      <c r="A40" s="6" t="inlineStr">
        <is>
          <t>سهم 1-2 از E4-a (مصرف)</t>
        </is>
      </c>
      <c r="B40" s="20">
        <f>SUMIFS('محاسبه تسهیم'!$Q$5:$Q$265,'محاسبه تسهیم'!$A$5:$A$265,"L7",'محاسبه تسهیم'!$C$5:$C$265,"1-2")</f>
        <v/>
      </c>
      <c r="C40" s="24" t="n">
        <v>0</v>
      </c>
      <c r="D40" s="25">
        <f>IF(B40=C40,"درست","نادرست")</f>
        <v/>
      </c>
    </row>
    <row r="41">
      <c r="A41" s="6" t="inlineStr">
        <is>
          <t>سهم 1-1 از E4-b (مساوی)</t>
        </is>
      </c>
      <c r="B41" s="20">
        <f>SUMIFS('محاسبه تسهیم'!$Q$5:$Q$265,'محاسبه تسهیم'!$A$5:$A$265,"L8",'محاسبه تسهیم'!$C$5:$C$265,"1-1")</f>
        <v/>
      </c>
      <c r="C41" s="24" t="n">
        <v>374000</v>
      </c>
      <c r="D41" s="25">
        <f>IF(B41=C41,"درست","نادرست")</f>
        <v/>
      </c>
    </row>
    <row r="42">
      <c r="A42" s="6" t="inlineStr">
        <is>
          <t>سهم 3-1 از E5 (پارکینگ (در استفاده))</t>
        </is>
      </c>
      <c r="B42" s="20">
        <f>SUMIFS('محاسبه تسهیم'!$Q$5:$Q$265,'محاسبه تسهیم'!$A$5:$A$265,"L9",'محاسبه تسهیم'!$C$5:$C$265,"3-1")</f>
        <v/>
      </c>
      <c r="C42" s="24" t="n">
        <v>533000</v>
      </c>
      <c r="D42" s="25">
        <f>IF(B42=C42,"درست","نادرست")</f>
        <v/>
      </c>
    </row>
    <row r="43">
      <c r="A43" s="6" t="inlineStr">
        <is>
          <t>سهم 4-2 از E6 (وزنی)</t>
        </is>
      </c>
      <c r="B43" s="20">
        <f>SUMIFS('محاسبه تسهیم'!$Q$5:$Q$265,'محاسبه تسهیم'!$A$5:$A$265,"L11",'محاسبه تسهیم'!$C$5:$C$265,"4-2")</f>
        <v/>
      </c>
      <c r="C43" s="24" t="n">
        <v>1500000</v>
      </c>
      <c r="D43" s="25">
        <f>IF(B43=C43,"درست","نادرست")</f>
        <v/>
      </c>
    </row>
    <row r="44">
      <c r="A44" s="6" t="inlineStr">
        <is>
          <t>سهم 2-1 از E7 (مبلغ صریح)</t>
        </is>
      </c>
      <c r="B44" s="20">
        <f>SUMIFS('محاسبه تسهیم'!$Q$5:$Q$265,'محاسبه تسهیم'!$A$5:$A$265,"L13",'محاسبه تسهیم'!$C$5:$C$265,"2-1")</f>
        <v/>
      </c>
      <c r="C44" s="24" t="n">
        <v>1500000</v>
      </c>
      <c r="D44" s="25">
        <f>IF(B44=C44,"درست","نادرست")</f>
        <v/>
      </c>
    </row>
    <row r="46">
      <c r="A46" s="13" t="inlineStr">
        <is>
          <t>همه کنترل‌ها</t>
        </is>
      </c>
      <c r="D46" s="4">
        <f>IF(COUNTIF(D5:D44,"درست")=40,"درست","نادرست")</f>
        <v/>
      </c>
    </row>
    <row r="47">
      <c r="A47" s="8" t="inlineStr">
        <is>
          <t>مقادیر «مورد انتظار» ثابت‌اند و فقط برای همین داده نمونه معتبرند؛ با تغییر ورودی‌ها انتظار می‌رود برخی سناریوها «نادرست» شوند.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3" max="3"/>
    <col width="24" customWidth="1" min="5" max="5"/>
    <col width="24" customWidth="1" min="7" max="7"/>
    <col width="24" customWidth="1" min="9" max="9"/>
    <col width="24" customWidth="1" min="11" max="11"/>
    <col width="24" customWidth="1" min="13" max="13"/>
  </cols>
  <sheetData>
    <row r="1">
      <c r="A1" s="1" t="inlineStr">
        <is>
          <t>فهرست‌های مرجع (برای اعتبارسنجی ورودی‌ها)</t>
        </is>
      </c>
    </row>
    <row r="3">
      <c r="A3" s="13" t="inlineStr">
        <is>
          <t>مبنای تسهیم</t>
        </is>
      </c>
      <c r="C3" s="13" t="inlineStr">
        <is>
          <t>بله/خیر</t>
        </is>
      </c>
      <c r="E3" s="13" t="inlineStr">
        <is>
          <t>صندوق</t>
        </is>
      </c>
      <c r="G3" s="13" t="inlineStr">
        <is>
          <t>نوع رابطه پارکینگ</t>
        </is>
      </c>
      <c r="I3" s="13" t="inlineStr">
        <is>
          <t>نوع تعدیل</t>
        </is>
      </c>
      <c r="K3" s="13" t="inlineStr">
        <is>
          <t>نقش کنتور</t>
        </is>
      </c>
      <c r="M3" s="13" t="inlineStr">
        <is>
          <t>روش پرداخت</t>
        </is>
      </c>
    </row>
    <row r="4">
      <c r="A4" s="6" t="inlineStr">
        <is>
          <t>مساوی</t>
        </is>
      </c>
      <c r="C4" s="6" t="inlineStr">
        <is>
          <t>بله</t>
        </is>
      </c>
      <c r="E4" s="6" t="inlineStr">
        <is>
          <t>عملیاتی</t>
        </is>
      </c>
      <c r="G4" s="6" t="inlineStr">
        <is>
          <t>مالکیت</t>
        </is>
      </c>
      <c r="I4" s="6" t="inlineStr">
        <is>
          <t>بستانکار (کاهش بدهی)</t>
        </is>
      </c>
      <c r="K4" s="6" t="inlineStr">
        <is>
          <t>اصلی</t>
        </is>
      </c>
      <c r="M4" s="6" t="inlineStr">
        <is>
          <t>نقد</t>
        </is>
      </c>
    </row>
    <row r="5">
      <c r="A5" s="6" t="inlineStr">
        <is>
          <t>نفر</t>
        </is>
      </c>
      <c r="C5" s="6" t="inlineStr">
        <is>
          <t>خیر</t>
        </is>
      </c>
      <c r="E5" s="6" t="inlineStr">
        <is>
          <t>اندوخته</t>
        </is>
      </c>
      <c r="G5" s="6" t="inlineStr">
        <is>
          <t>تخصیص</t>
        </is>
      </c>
      <c r="I5" s="6" t="inlineStr">
        <is>
          <t>بدهکار (افزایش بدهی)</t>
        </is>
      </c>
      <c r="K5" s="6" t="inlineStr">
        <is>
          <t>واحد</t>
        </is>
      </c>
      <c r="M5" s="6" t="inlineStr">
        <is>
          <t>کارت به کارت</t>
        </is>
      </c>
    </row>
    <row r="6">
      <c r="A6" s="6" t="inlineStr">
        <is>
          <t>متراژ</t>
        </is>
      </c>
      <c r="G6" s="6" t="inlineStr">
        <is>
          <t>اجاره</t>
        </is>
      </c>
      <c r="I6" s="6" t="inlineStr">
        <is>
          <t>استرداد وجه</t>
        </is>
      </c>
      <c r="M6" s="6" t="inlineStr">
        <is>
          <t>واریز بانکی</t>
        </is>
      </c>
    </row>
    <row r="7">
      <c r="A7" s="6" t="inlineStr">
        <is>
          <t>مصرف</t>
        </is>
      </c>
      <c r="M7" s="6" t="inlineStr">
        <is>
          <t>چک</t>
        </is>
      </c>
    </row>
    <row r="8">
      <c r="A8" s="6" t="inlineStr">
        <is>
          <t>مصرف + سهم مشترک</t>
        </is>
      </c>
    </row>
    <row r="9">
      <c r="A9" s="6" t="inlineStr">
        <is>
          <t>وزنی</t>
        </is>
      </c>
    </row>
    <row r="10">
      <c r="A10" s="6" t="inlineStr">
        <is>
          <t>مبلغ صریح</t>
        </is>
      </c>
    </row>
    <row r="11">
      <c r="A11" s="6" t="inlineStr">
        <is>
          <t>پارکینگ (همه)</t>
        </is>
      </c>
    </row>
    <row r="12">
      <c r="A12" s="6" t="inlineStr">
        <is>
          <t>پارکینگ (در استفاده)</t>
        </is>
      </c>
    </row>
    <row r="13">
      <c r="A13" s="6" t="inlineStr">
        <is>
          <t>بدون تسهیم (صندوق)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Dang</dc:creator>
  <dc:title>Dang (دنگ) — Building accounting prototype</dc:title>
  <dcterms:created xsi:type="dcterms:W3CDTF">2026-10-18T03:19:47Z</dcterms:created>
  <dcterms:modified xsi:type="dcterms:W3CDTF">2026-10-18T03:19:47Z</dcterms:modified>
</cp:coreProperties>
</file>